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Operators" sheetId="2" state="visible" r:id="rId4"/>
    <sheet name="Summary" sheetId="3" state="visible" r:id="rId5"/>
    <sheet name="Lists" sheetId="4" state="visible" r:id="rId6"/>
  </sheets>
  <definedNames>
    <definedName function="false" hidden="true" localSheetId="1" name="_xlnm._FilterDatabase" vbProcedure="false">Operators!$A$1:$Y$1001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<sst xmlns="http://schemas.openxmlformats.org/spreadsheetml/2006/main" count="1628" uniqueCount="1255">
  <si>
    <t xml:space="preserve">Yuvoy supply tracker</t>
  </si>
  <si>
    <t xml:space="preserve">One row per business. Start with Andaman; add any destination in India the same way.</t>
  </si>
  <si>
    <t xml:space="preserve">Filling it in</t>
  </si>
  <si>
    <t xml:space="preserve">• Add operators on the Operators tab, one per row. Each row already has a fixed ID (Y0001, Y0002…) that stays with it when you sort or delete rows.</t>
  </si>
  <si>
    <t xml:space="preserve">• Destination, Category, Source, Status and Audit result are dropdowns. Pick from the list so the Summary can count them.</t>
  </si>
  <si>
    <t xml:space="preserve">• Row 2 is an EXAMPLE showing the expected format. Delete it once you've seen it; it is never counted.</t>
  </si>
  <si>
    <t xml:space="preserve">• Rows 3–8 are Havelock dive operators found in web research. Only frogman.in is confirmed; verify the others before contacting.</t>
  </si>
  <si>
    <t xml:space="preserve">• Phone numbers: write them with +91 (e.g. +91 94340 00000). Dates: any date format; they display as dd-mmm-yyyy.</t>
  </si>
  <si>
    <t xml:space="preserve">• Red licence expiry = expires within 30 days (or already expired). Orange next-action date = overdue.</t>
  </si>
  <si>
    <t xml:space="preserve">Status: move each operator left to right</t>
  </si>
  <si>
    <t xml:space="preserve">Lead → Contacted → Met → Audited → Signed → Filmed → Live.   Rejected and Dormant are off-ramps. Meanings are on the Lists tab.</t>
  </si>
  <si>
    <t xml:space="preserve">Where to find operators</t>
  </si>
  <si>
    <t xml:space="preserve">• On the ground: walk the beach roads and jetties; ask hotel activity desks who they send guests to.</t>
  </si>
  <si>
    <t xml:space="preserve">• Tourism registries: A&amp;N Tourism registered agents and water-sports permits; state adventure-tourism registrations; Ministry of Tourism approved operators.</t>
  </si>
  <si>
    <t xml:space="preserve">• PADI / SSI dive-centre locators; ATOAI member directory.</t>
  </si>
  <si>
    <t xml:space="preserve">• Google Maps, Instagram geotags and hashtags (e.g. #havelockisland), Thrillophilia / Tripadvisor listings: use these to find names, then get details from the operator directly.</t>
  </si>
  <si>
    <t xml:space="preserve">Good habits</t>
  </si>
  <si>
    <t xml:space="preserve">• Fill in Source for every row so you know where each lead came from.</t>
  </si>
  <si>
    <t xml:space="preserve">• Collect GST number and licence details at signing; note the licence expiry date.</t>
  </si>
  <si>
    <t xml:space="preserve">• Contact details are personal data (DPDP Act 2023): keep this sheet shared only with the team, and remove anyone who asks.</t>
  </si>
  <si>
    <t xml:space="preserve">Later</t>
  </si>
  <si>
    <t xml:space="preserve">This sheet uses the same columns as the trigo-supply database in GitHub, so it can be imported there (field_form mapping) when you outgrow it.</t>
  </si>
  <si>
    <t xml:space="preserve">Legend: on the Operators tab, white cells are for you to fill in; grey ID cells fill themselves; row 2 (grey italic) is the example.</t>
  </si>
  <si>
    <t xml:space="preserve">ID</t>
  </si>
  <si>
    <t xml:space="preserve">Business name</t>
  </si>
  <si>
    <t xml:space="preserve">Destination</t>
  </si>
  <si>
    <t xml:space="preserve">State</t>
  </si>
  <si>
    <t xml:space="preserve">Category 1</t>
  </si>
  <si>
    <t xml:space="preserve">Category 2</t>
  </si>
  <si>
    <t xml:space="preserve">Phone / WhatsApp</t>
  </si>
  <si>
    <t xml:space="preserve">Email</t>
  </si>
  <si>
    <t xml:space="preserve">Website</t>
  </si>
  <si>
    <t xml:space="preserve">Instagram</t>
  </si>
  <si>
    <t xml:space="preserve">Address / area</t>
  </si>
  <si>
    <t xml:space="preserve">Google Maps link</t>
  </si>
  <si>
    <t xml:space="preserve">Source</t>
  </si>
  <si>
    <t xml:space="preserve">Source link</t>
  </si>
  <si>
    <t xml:space="preserve">Status</t>
  </si>
  <si>
    <t xml:space="preserve">Owner</t>
  </si>
  <si>
    <t xml:space="preserve">Last contact</t>
  </si>
  <si>
    <t xml:space="preserve">Next action</t>
  </si>
  <si>
    <t xml:space="preserve">Next action date</t>
  </si>
  <si>
    <t xml:space="preserve">Price from (₹)</t>
  </si>
  <si>
    <t xml:space="preserve">Licence / permit no.</t>
  </si>
  <si>
    <t xml:space="preserve">Licence expiry</t>
  </si>
  <si>
    <t xml:space="preserve">PADI / SSI no.</t>
  </si>
  <si>
    <t xml:space="preserve">Audit result</t>
  </si>
  <si>
    <t xml:space="preserve">Notes</t>
  </si>
  <si>
    <t xml:space="preserve">EX</t>
  </si>
  <si>
    <t xml:space="preserve">EXAMPLE – Coral Reef Divers (delete this row)</t>
  </si>
  <si>
    <t xml:space="preserve">Havelock (Swaraj Dweep)</t>
  </si>
  <si>
    <t xml:space="preserve">IN-AN</t>
  </si>
  <si>
    <t xml:space="preserve">Scuba diving</t>
  </si>
  <si>
    <t xml:space="preserve">Snorkelling</t>
  </si>
  <si>
    <t xml:space="preserve">+91 94340 00000</t>
  </si>
  <si>
    <t xml:space="preserve">hello@example.com</t>
  </si>
  <si>
    <t xml:space="preserve">example.com</t>
  </si>
  <si>
    <t xml:space="preserve">@coralreefdivers</t>
  </si>
  <si>
    <t xml:space="preserve">Beach No. 3</t>
  </si>
  <si>
    <t xml:space="preserve">Field team</t>
  </si>
  <si>
    <t xml:space="preserve">Met</t>
  </si>
  <si>
    <t xml:space="preserve">Rahul</t>
  </si>
  <si>
    <t xml:space="preserve">Send audit checklist</t>
  </si>
  <si>
    <t xml:space="preserve">AN/WS/123</t>
  </si>
  <si>
    <t xml:space="preserve">S-12345</t>
  </si>
  <si>
    <t xml:space="preserve">Not started</t>
  </si>
  <si>
    <t xml:space="preserve">Shows the expected format for each column.</t>
  </si>
  <si>
    <t xml:space="preserve">Y0001</t>
  </si>
  <si>
    <t xml:space="preserve">Frogman (frogman.in)</t>
  </si>
  <si>
    <t xml:space="preserve">frogman.in</t>
  </si>
  <si>
    <t xml:space="preserve">Signed</t>
  </si>
  <si>
    <t xml:space="preserve">Anchor operator (co-founder owned). Keep its bookings separate when tracking the non-anchor share.</t>
  </si>
  <si>
    <t xml:space="preserve">Y0002</t>
  </si>
  <si>
    <t xml:space="preserve">Havelock Divers</t>
  </si>
  <si>
    <t xml:space="preserve">Marketplace</t>
  </si>
  <si>
    <t xml:space="preserve">https://www.tripadvisor.in/Attraction_Review-g503691-d12921588-Reviews-Havelock_Divers-Havelock_Island_Andaman_and_Nicobar_Islands.html</t>
  </si>
  <si>
    <t xml:space="preserve">Lead</t>
  </si>
  <si>
    <t xml:space="preserve">Found in web research; verify contact details.</t>
  </si>
  <si>
    <t xml:space="preserve">Y0003</t>
  </si>
  <si>
    <t xml:space="preserve">Barefoot Scuba</t>
  </si>
  <si>
    <t xml:space="preserve">Web search</t>
  </si>
  <si>
    <t xml:space="preserve">Named in research as offering discovery dives from ₹4,500; verify.</t>
  </si>
  <si>
    <t xml:space="preserve">Y0004</t>
  </si>
  <si>
    <t xml:space="preserve">Dive India</t>
  </si>
  <si>
    <t xml:space="preserve">Y0005</t>
  </si>
  <si>
    <t xml:space="preserve">Waterwoods</t>
  </si>
  <si>
    <t xml:space="preserve">waterwoods.in</t>
  </si>
  <si>
    <t xml:space="preserve">https://www.waterwoods.in/havelock/activities/scuba-diving/</t>
  </si>
  <si>
    <t xml:space="preserve">Found in web research; verify.</t>
  </si>
  <si>
    <t xml:space="preserve">Y0006</t>
  </si>
  <si>
    <t xml:space="preserve">Dive Andaman</t>
  </si>
  <si>
    <t xml:space="preserve">diveandaman.com</t>
  </si>
  <si>
    <t xml:space="preserve">https://www.diveandaman.com/diving-packages-in-havelock-island</t>
  </si>
  <si>
    <t xml:space="preserve">Y0007</t>
  </si>
  <si>
    <t xml:space="preserve">Y0008</t>
  </si>
  <si>
    <t xml:space="preserve">Y0009</t>
  </si>
  <si>
    <t xml:space="preserve">Y0010</t>
  </si>
  <si>
    <t xml:space="preserve">Y0011</t>
  </si>
  <si>
    <t xml:space="preserve">Y0012</t>
  </si>
  <si>
    <t xml:space="preserve">Y0013</t>
  </si>
  <si>
    <t xml:space="preserve">Y0014</t>
  </si>
  <si>
    <t xml:space="preserve">Y0015</t>
  </si>
  <si>
    <t xml:space="preserve">Y0016</t>
  </si>
  <si>
    <t xml:space="preserve">Y0017</t>
  </si>
  <si>
    <t xml:space="preserve">Y0018</t>
  </si>
  <si>
    <t xml:space="preserve">Y0019</t>
  </si>
  <si>
    <t xml:space="preserve">Y0020</t>
  </si>
  <si>
    <t xml:space="preserve">Y0021</t>
  </si>
  <si>
    <t xml:space="preserve">Y0022</t>
  </si>
  <si>
    <t xml:space="preserve">Y0023</t>
  </si>
  <si>
    <t xml:space="preserve">Y0024</t>
  </si>
  <si>
    <t xml:space="preserve">Y0025</t>
  </si>
  <si>
    <t xml:space="preserve">Y0026</t>
  </si>
  <si>
    <t xml:space="preserve">Y0027</t>
  </si>
  <si>
    <t xml:space="preserve">Y0028</t>
  </si>
  <si>
    <t xml:space="preserve">Y0029</t>
  </si>
  <si>
    <t xml:space="preserve">Y0030</t>
  </si>
  <si>
    <t xml:space="preserve">Y0031</t>
  </si>
  <si>
    <t xml:space="preserve">Y0032</t>
  </si>
  <si>
    <t xml:space="preserve">Y0033</t>
  </si>
  <si>
    <t xml:space="preserve">Y0034</t>
  </si>
  <si>
    <t xml:space="preserve">Y0035</t>
  </si>
  <si>
    <t xml:space="preserve">Y0036</t>
  </si>
  <si>
    <t xml:space="preserve">Y0037</t>
  </si>
  <si>
    <t xml:space="preserve">Y0038</t>
  </si>
  <si>
    <t xml:space="preserve">Y0039</t>
  </si>
  <si>
    <t xml:space="preserve">Y0040</t>
  </si>
  <si>
    <t xml:space="preserve">Y0041</t>
  </si>
  <si>
    <t xml:space="preserve">Y0042</t>
  </si>
  <si>
    <t xml:space="preserve">Y0043</t>
  </si>
  <si>
    <t xml:space="preserve">Y0044</t>
  </si>
  <si>
    <t xml:space="preserve">Y0045</t>
  </si>
  <si>
    <t xml:space="preserve">Y0046</t>
  </si>
  <si>
    <t xml:space="preserve">Y0047</t>
  </si>
  <si>
    <t xml:space="preserve">Y0048</t>
  </si>
  <si>
    <t xml:space="preserve">Y0049</t>
  </si>
  <si>
    <t xml:space="preserve">Y0050</t>
  </si>
  <si>
    <t xml:space="preserve">Y0051</t>
  </si>
  <si>
    <t xml:space="preserve">Y0052</t>
  </si>
  <si>
    <t xml:space="preserve">Y0053</t>
  </si>
  <si>
    <t xml:space="preserve">Y0054</t>
  </si>
  <si>
    <t xml:space="preserve">Y0055</t>
  </si>
  <si>
    <t xml:space="preserve">Y0056</t>
  </si>
  <si>
    <t xml:space="preserve">Y0057</t>
  </si>
  <si>
    <t xml:space="preserve">Y0058</t>
  </si>
  <si>
    <t xml:space="preserve">Y0059</t>
  </si>
  <si>
    <t xml:space="preserve">Y0060</t>
  </si>
  <si>
    <t xml:space="preserve">Y0061</t>
  </si>
  <si>
    <t xml:space="preserve">Y0062</t>
  </si>
  <si>
    <t xml:space="preserve">Y0063</t>
  </si>
  <si>
    <t xml:space="preserve">Y0064</t>
  </si>
  <si>
    <t xml:space="preserve">Y0065</t>
  </si>
  <si>
    <t xml:space="preserve">Y0066</t>
  </si>
  <si>
    <t xml:space="preserve">Y0067</t>
  </si>
  <si>
    <t xml:space="preserve">Y0068</t>
  </si>
  <si>
    <t xml:space="preserve">Y0069</t>
  </si>
  <si>
    <t xml:space="preserve">Y0070</t>
  </si>
  <si>
    <t xml:space="preserve">Y0071</t>
  </si>
  <si>
    <t xml:space="preserve">Y0072</t>
  </si>
  <si>
    <t xml:space="preserve">Y0073</t>
  </si>
  <si>
    <t xml:space="preserve">Y0074</t>
  </si>
  <si>
    <t xml:space="preserve">Y0075</t>
  </si>
  <si>
    <t xml:space="preserve">Y0076</t>
  </si>
  <si>
    <t xml:space="preserve">Y0077</t>
  </si>
  <si>
    <t xml:space="preserve">Y0078</t>
  </si>
  <si>
    <t xml:space="preserve">Y0079</t>
  </si>
  <si>
    <t xml:space="preserve">Y0080</t>
  </si>
  <si>
    <t xml:space="preserve">Y0081</t>
  </si>
  <si>
    <t xml:space="preserve">Y0082</t>
  </si>
  <si>
    <t xml:space="preserve">Y0083</t>
  </si>
  <si>
    <t xml:space="preserve">Y0084</t>
  </si>
  <si>
    <t xml:space="preserve">Y0085</t>
  </si>
  <si>
    <t xml:space="preserve">Y0086</t>
  </si>
  <si>
    <t xml:space="preserve">Y0087</t>
  </si>
  <si>
    <t xml:space="preserve">Y0088</t>
  </si>
  <si>
    <t xml:space="preserve">Y0089</t>
  </si>
  <si>
    <t xml:space="preserve">Y0090</t>
  </si>
  <si>
    <t xml:space="preserve">Y0091</t>
  </si>
  <si>
    <t xml:space="preserve">Y0092</t>
  </si>
  <si>
    <t xml:space="preserve">Y0093</t>
  </si>
  <si>
    <t xml:space="preserve">Y0094</t>
  </si>
  <si>
    <t xml:space="preserve">Y0095</t>
  </si>
  <si>
    <t xml:space="preserve">Y0096</t>
  </si>
  <si>
    <t xml:space="preserve">Y0097</t>
  </si>
  <si>
    <t xml:space="preserve">Y0098</t>
  </si>
  <si>
    <t xml:space="preserve">Y0099</t>
  </si>
  <si>
    <t xml:space="preserve">Y0100</t>
  </si>
  <si>
    <t xml:space="preserve">Y0101</t>
  </si>
  <si>
    <t xml:space="preserve">Y0102</t>
  </si>
  <si>
    <t xml:space="preserve">Y0103</t>
  </si>
  <si>
    <t xml:space="preserve">Y0104</t>
  </si>
  <si>
    <t xml:space="preserve">Y0105</t>
  </si>
  <si>
    <t xml:space="preserve">Y0106</t>
  </si>
  <si>
    <t xml:space="preserve">Y0107</t>
  </si>
  <si>
    <t xml:space="preserve">Y0108</t>
  </si>
  <si>
    <t xml:space="preserve">Y0109</t>
  </si>
  <si>
    <t xml:space="preserve">Y0110</t>
  </si>
  <si>
    <t xml:space="preserve">Y0111</t>
  </si>
  <si>
    <t xml:space="preserve">Y0112</t>
  </si>
  <si>
    <t xml:space="preserve">Y0113</t>
  </si>
  <si>
    <t xml:space="preserve">Y0114</t>
  </si>
  <si>
    <t xml:space="preserve">Y0115</t>
  </si>
  <si>
    <t xml:space="preserve">Y0116</t>
  </si>
  <si>
    <t xml:space="preserve">Y0117</t>
  </si>
  <si>
    <t xml:space="preserve">Y0118</t>
  </si>
  <si>
    <t xml:space="preserve">Y0119</t>
  </si>
  <si>
    <t xml:space="preserve">Y0120</t>
  </si>
  <si>
    <t xml:space="preserve">Y0121</t>
  </si>
  <si>
    <t xml:space="preserve">Y0122</t>
  </si>
  <si>
    <t xml:space="preserve">Y0123</t>
  </si>
  <si>
    <t xml:space="preserve">Y0124</t>
  </si>
  <si>
    <t xml:space="preserve">Y0125</t>
  </si>
  <si>
    <t xml:space="preserve">Y0126</t>
  </si>
  <si>
    <t xml:space="preserve">Y0127</t>
  </si>
  <si>
    <t xml:space="preserve">Y0128</t>
  </si>
  <si>
    <t xml:space="preserve">Y0129</t>
  </si>
  <si>
    <t xml:space="preserve">Y0130</t>
  </si>
  <si>
    <t xml:space="preserve">Y0131</t>
  </si>
  <si>
    <t xml:space="preserve">Y0132</t>
  </si>
  <si>
    <t xml:space="preserve">Y0133</t>
  </si>
  <si>
    <t xml:space="preserve">Y0134</t>
  </si>
  <si>
    <t xml:space="preserve">Y0135</t>
  </si>
  <si>
    <t xml:space="preserve">Y0136</t>
  </si>
  <si>
    <t xml:space="preserve">Y0137</t>
  </si>
  <si>
    <t xml:space="preserve">Y0138</t>
  </si>
  <si>
    <t xml:space="preserve">Y0139</t>
  </si>
  <si>
    <t xml:space="preserve">Y0140</t>
  </si>
  <si>
    <t xml:space="preserve">Y0141</t>
  </si>
  <si>
    <t xml:space="preserve">Y0142</t>
  </si>
  <si>
    <t xml:space="preserve">Y0143</t>
  </si>
  <si>
    <t xml:space="preserve">Y0144</t>
  </si>
  <si>
    <t xml:space="preserve">Y0145</t>
  </si>
  <si>
    <t xml:space="preserve">Y0146</t>
  </si>
  <si>
    <t xml:space="preserve">Y0147</t>
  </si>
  <si>
    <t xml:space="preserve">Y0148</t>
  </si>
  <si>
    <t xml:space="preserve">Y0149</t>
  </si>
  <si>
    <t xml:space="preserve">Y0150</t>
  </si>
  <si>
    <t xml:space="preserve">Y0151</t>
  </si>
  <si>
    <t xml:space="preserve">Y0152</t>
  </si>
  <si>
    <t xml:space="preserve">Y0153</t>
  </si>
  <si>
    <t xml:space="preserve">Y0154</t>
  </si>
  <si>
    <t xml:space="preserve">Y0155</t>
  </si>
  <si>
    <t xml:space="preserve">Y0156</t>
  </si>
  <si>
    <t xml:space="preserve">Y0157</t>
  </si>
  <si>
    <t xml:space="preserve">Y0158</t>
  </si>
  <si>
    <t xml:space="preserve">Y0159</t>
  </si>
  <si>
    <t xml:space="preserve">Y0160</t>
  </si>
  <si>
    <t xml:space="preserve">Y0161</t>
  </si>
  <si>
    <t xml:space="preserve">Y0162</t>
  </si>
  <si>
    <t xml:space="preserve">Y0163</t>
  </si>
  <si>
    <t xml:space="preserve">Y0164</t>
  </si>
  <si>
    <t xml:space="preserve">Y0165</t>
  </si>
  <si>
    <t xml:space="preserve">Y0166</t>
  </si>
  <si>
    <t xml:space="preserve">Y0167</t>
  </si>
  <si>
    <t xml:space="preserve">Y0168</t>
  </si>
  <si>
    <t xml:space="preserve">Y0169</t>
  </si>
  <si>
    <t xml:space="preserve">Y0170</t>
  </si>
  <si>
    <t xml:space="preserve">Y0171</t>
  </si>
  <si>
    <t xml:space="preserve">Y0172</t>
  </si>
  <si>
    <t xml:space="preserve">Y0173</t>
  </si>
  <si>
    <t xml:space="preserve">Y0174</t>
  </si>
  <si>
    <t xml:space="preserve">Y0175</t>
  </si>
  <si>
    <t xml:space="preserve">Y0176</t>
  </si>
  <si>
    <t xml:space="preserve">Y0177</t>
  </si>
  <si>
    <t xml:space="preserve">Y0178</t>
  </si>
  <si>
    <t xml:space="preserve">Y0179</t>
  </si>
  <si>
    <t xml:space="preserve">Y0180</t>
  </si>
  <si>
    <t xml:space="preserve">Y0181</t>
  </si>
  <si>
    <t xml:space="preserve">Y0182</t>
  </si>
  <si>
    <t xml:space="preserve">Y0183</t>
  </si>
  <si>
    <t xml:space="preserve">Y0184</t>
  </si>
  <si>
    <t xml:space="preserve">Y0185</t>
  </si>
  <si>
    <t xml:space="preserve">Y0186</t>
  </si>
  <si>
    <t xml:space="preserve">Y0187</t>
  </si>
  <si>
    <t xml:space="preserve">Y0188</t>
  </si>
  <si>
    <t xml:space="preserve">Y0189</t>
  </si>
  <si>
    <t xml:space="preserve">Y0190</t>
  </si>
  <si>
    <t xml:space="preserve">Y0191</t>
  </si>
  <si>
    <t xml:space="preserve">Y0192</t>
  </si>
  <si>
    <t xml:space="preserve">Y0193</t>
  </si>
  <si>
    <t xml:space="preserve">Y0194</t>
  </si>
  <si>
    <t xml:space="preserve">Y0195</t>
  </si>
  <si>
    <t xml:space="preserve">Y0196</t>
  </si>
  <si>
    <t xml:space="preserve">Y0197</t>
  </si>
  <si>
    <t xml:space="preserve">Y0198</t>
  </si>
  <si>
    <t xml:space="preserve">Y0199</t>
  </si>
  <si>
    <t xml:space="preserve">Y0200</t>
  </si>
  <si>
    <t xml:space="preserve">Y0201</t>
  </si>
  <si>
    <t xml:space="preserve">Y0202</t>
  </si>
  <si>
    <t xml:space="preserve">Y0203</t>
  </si>
  <si>
    <t xml:space="preserve">Y0204</t>
  </si>
  <si>
    <t xml:space="preserve">Y0205</t>
  </si>
  <si>
    <t xml:space="preserve">Y0206</t>
  </si>
  <si>
    <t xml:space="preserve">Y0207</t>
  </si>
  <si>
    <t xml:space="preserve">Y0208</t>
  </si>
  <si>
    <t xml:space="preserve">Y0209</t>
  </si>
  <si>
    <t xml:space="preserve">Y0210</t>
  </si>
  <si>
    <t xml:space="preserve">Y0211</t>
  </si>
  <si>
    <t xml:space="preserve">Y0212</t>
  </si>
  <si>
    <t xml:space="preserve">Y0213</t>
  </si>
  <si>
    <t xml:space="preserve">Y0214</t>
  </si>
  <si>
    <t xml:space="preserve">Y0215</t>
  </si>
  <si>
    <t xml:space="preserve">Y0216</t>
  </si>
  <si>
    <t xml:space="preserve">Y0217</t>
  </si>
  <si>
    <t xml:space="preserve">Y0218</t>
  </si>
  <si>
    <t xml:space="preserve">Y0219</t>
  </si>
  <si>
    <t xml:space="preserve">Y0220</t>
  </si>
  <si>
    <t xml:space="preserve">Y0221</t>
  </si>
  <si>
    <t xml:space="preserve">Y0222</t>
  </si>
  <si>
    <t xml:space="preserve">Y0223</t>
  </si>
  <si>
    <t xml:space="preserve">Y0224</t>
  </si>
  <si>
    <t xml:space="preserve">Y0225</t>
  </si>
  <si>
    <t xml:space="preserve">Y0226</t>
  </si>
  <si>
    <t xml:space="preserve">Y0227</t>
  </si>
  <si>
    <t xml:space="preserve">Y0228</t>
  </si>
  <si>
    <t xml:space="preserve">Y0229</t>
  </si>
  <si>
    <t xml:space="preserve">Y0230</t>
  </si>
  <si>
    <t xml:space="preserve">Y0231</t>
  </si>
  <si>
    <t xml:space="preserve">Y0232</t>
  </si>
  <si>
    <t xml:space="preserve">Y0233</t>
  </si>
  <si>
    <t xml:space="preserve">Y0234</t>
  </si>
  <si>
    <t xml:space="preserve">Y0235</t>
  </si>
  <si>
    <t xml:space="preserve">Y0236</t>
  </si>
  <si>
    <t xml:space="preserve">Y0237</t>
  </si>
  <si>
    <t xml:space="preserve">Y0238</t>
  </si>
  <si>
    <t xml:space="preserve">Y0239</t>
  </si>
  <si>
    <t xml:space="preserve">Y0240</t>
  </si>
  <si>
    <t xml:space="preserve">Y0241</t>
  </si>
  <si>
    <t xml:space="preserve">Y0242</t>
  </si>
  <si>
    <t xml:space="preserve">Y0243</t>
  </si>
  <si>
    <t xml:space="preserve">Y0244</t>
  </si>
  <si>
    <t xml:space="preserve">Y0245</t>
  </si>
  <si>
    <t xml:space="preserve">Y0246</t>
  </si>
  <si>
    <t xml:space="preserve">Y0247</t>
  </si>
  <si>
    <t xml:space="preserve">Y0248</t>
  </si>
  <si>
    <t xml:space="preserve">Y0249</t>
  </si>
  <si>
    <t xml:space="preserve">Y0250</t>
  </si>
  <si>
    <t xml:space="preserve">Y0251</t>
  </si>
  <si>
    <t xml:space="preserve">Y0252</t>
  </si>
  <si>
    <t xml:space="preserve">Y0253</t>
  </si>
  <si>
    <t xml:space="preserve">Y0254</t>
  </si>
  <si>
    <t xml:space="preserve">Y0255</t>
  </si>
  <si>
    <t xml:space="preserve">Y0256</t>
  </si>
  <si>
    <t xml:space="preserve">Y0257</t>
  </si>
  <si>
    <t xml:space="preserve">Y0258</t>
  </si>
  <si>
    <t xml:space="preserve">Y0259</t>
  </si>
  <si>
    <t xml:space="preserve">Y0260</t>
  </si>
  <si>
    <t xml:space="preserve">Y0261</t>
  </si>
  <si>
    <t xml:space="preserve">Y0262</t>
  </si>
  <si>
    <t xml:space="preserve">Y0263</t>
  </si>
  <si>
    <t xml:space="preserve">Y0264</t>
  </si>
  <si>
    <t xml:space="preserve">Y0265</t>
  </si>
  <si>
    <t xml:space="preserve">Y0266</t>
  </si>
  <si>
    <t xml:space="preserve">Y0267</t>
  </si>
  <si>
    <t xml:space="preserve">Y0268</t>
  </si>
  <si>
    <t xml:space="preserve">Y0269</t>
  </si>
  <si>
    <t xml:space="preserve">Y0270</t>
  </si>
  <si>
    <t xml:space="preserve">Y0271</t>
  </si>
  <si>
    <t xml:space="preserve">Y0272</t>
  </si>
  <si>
    <t xml:space="preserve">Y0273</t>
  </si>
  <si>
    <t xml:space="preserve">Y0274</t>
  </si>
  <si>
    <t xml:space="preserve">Y0275</t>
  </si>
  <si>
    <t xml:space="preserve">Y0276</t>
  </si>
  <si>
    <t xml:space="preserve">Y0277</t>
  </si>
  <si>
    <t xml:space="preserve">Y0278</t>
  </si>
  <si>
    <t xml:space="preserve">Y0279</t>
  </si>
  <si>
    <t xml:space="preserve">Y0280</t>
  </si>
  <si>
    <t xml:space="preserve">Y0281</t>
  </si>
  <si>
    <t xml:space="preserve">Y0282</t>
  </si>
  <si>
    <t xml:space="preserve">Y0283</t>
  </si>
  <si>
    <t xml:space="preserve">Y0284</t>
  </si>
  <si>
    <t xml:space="preserve">Y0285</t>
  </si>
  <si>
    <t xml:space="preserve">Y0286</t>
  </si>
  <si>
    <t xml:space="preserve">Y0287</t>
  </si>
  <si>
    <t xml:space="preserve">Y0288</t>
  </si>
  <si>
    <t xml:space="preserve">Y0289</t>
  </si>
  <si>
    <t xml:space="preserve">Y0290</t>
  </si>
  <si>
    <t xml:space="preserve">Y0291</t>
  </si>
  <si>
    <t xml:space="preserve">Y0292</t>
  </si>
  <si>
    <t xml:space="preserve">Y0293</t>
  </si>
  <si>
    <t xml:space="preserve">Y0294</t>
  </si>
  <si>
    <t xml:space="preserve">Y0295</t>
  </si>
  <si>
    <t xml:space="preserve">Y0296</t>
  </si>
  <si>
    <t xml:space="preserve">Y0297</t>
  </si>
  <si>
    <t xml:space="preserve">Y0298</t>
  </si>
  <si>
    <t xml:space="preserve">Y0299</t>
  </si>
  <si>
    <t xml:space="preserve">Y0300</t>
  </si>
  <si>
    <t xml:space="preserve">Y0301</t>
  </si>
  <si>
    <t xml:space="preserve">Y0302</t>
  </si>
  <si>
    <t xml:space="preserve">Y0303</t>
  </si>
  <si>
    <t xml:space="preserve">Y0304</t>
  </si>
  <si>
    <t xml:space="preserve">Y0305</t>
  </si>
  <si>
    <t xml:space="preserve">Y0306</t>
  </si>
  <si>
    <t xml:space="preserve">Y0307</t>
  </si>
  <si>
    <t xml:space="preserve">Y0308</t>
  </si>
  <si>
    <t xml:space="preserve">Y0309</t>
  </si>
  <si>
    <t xml:space="preserve">Y0310</t>
  </si>
  <si>
    <t xml:space="preserve">Y0311</t>
  </si>
  <si>
    <t xml:space="preserve">Y0312</t>
  </si>
  <si>
    <t xml:space="preserve">Y0313</t>
  </si>
  <si>
    <t xml:space="preserve">Y0314</t>
  </si>
  <si>
    <t xml:space="preserve">Y0315</t>
  </si>
  <si>
    <t xml:space="preserve">Y0316</t>
  </si>
  <si>
    <t xml:space="preserve">Y0317</t>
  </si>
  <si>
    <t xml:space="preserve">Y0318</t>
  </si>
  <si>
    <t xml:space="preserve">Y0319</t>
  </si>
  <si>
    <t xml:space="preserve">Y0320</t>
  </si>
  <si>
    <t xml:space="preserve">Y0321</t>
  </si>
  <si>
    <t xml:space="preserve">Y0322</t>
  </si>
  <si>
    <t xml:space="preserve">Y0323</t>
  </si>
  <si>
    <t xml:space="preserve">Y0324</t>
  </si>
  <si>
    <t xml:space="preserve">Y0325</t>
  </si>
  <si>
    <t xml:space="preserve">Y0326</t>
  </si>
  <si>
    <t xml:space="preserve">Y0327</t>
  </si>
  <si>
    <t xml:space="preserve">Y0328</t>
  </si>
  <si>
    <t xml:space="preserve">Y0329</t>
  </si>
  <si>
    <t xml:space="preserve">Y0330</t>
  </si>
  <si>
    <t xml:space="preserve">Y0331</t>
  </si>
  <si>
    <t xml:space="preserve">Y0332</t>
  </si>
  <si>
    <t xml:space="preserve">Y0333</t>
  </si>
  <si>
    <t xml:space="preserve">Y0334</t>
  </si>
  <si>
    <t xml:space="preserve">Y0335</t>
  </si>
  <si>
    <t xml:space="preserve">Y0336</t>
  </si>
  <si>
    <t xml:space="preserve">Y0337</t>
  </si>
  <si>
    <t xml:space="preserve">Y0338</t>
  </si>
  <si>
    <t xml:space="preserve">Y0339</t>
  </si>
  <si>
    <t xml:space="preserve">Y0340</t>
  </si>
  <si>
    <t xml:space="preserve">Y0341</t>
  </si>
  <si>
    <t xml:space="preserve">Y0342</t>
  </si>
  <si>
    <t xml:space="preserve">Y0343</t>
  </si>
  <si>
    <t xml:space="preserve">Y0344</t>
  </si>
  <si>
    <t xml:space="preserve">Y0345</t>
  </si>
  <si>
    <t xml:space="preserve">Y0346</t>
  </si>
  <si>
    <t xml:space="preserve">Y0347</t>
  </si>
  <si>
    <t xml:space="preserve">Y0348</t>
  </si>
  <si>
    <t xml:space="preserve">Y0349</t>
  </si>
  <si>
    <t xml:space="preserve">Y0350</t>
  </si>
  <si>
    <t xml:space="preserve">Y0351</t>
  </si>
  <si>
    <t xml:space="preserve">Y0352</t>
  </si>
  <si>
    <t xml:space="preserve">Y0353</t>
  </si>
  <si>
    <t xml:space="preserve">Y0354</t>
  </si>
  <si>
    <t xml:space="preserve">Y0355</t>
  </si>
  <si>
    <t xml:space="preserve">Y0356</t>
  </si>
  <si>
    <t xml:space="preserve">Y0357</t>
  </si>
  <si>
    <t xml:space="preserve">Y0358</t>
  </si>
  <si>
    <t xml:space="preserve">Y0359</t>
  </si>
  <si>
    <t xml:space="preserve">Y0360</t>
  </si>
  <si>
    <t xml:space="preserve">Y0361</t>
  </si>
  <si>
    <t xml:space="preserve">Y0362</t>
  </si>
  <si>
    <t xml:space="preserve">Y0363</t>
  </si>
  <si>
    <t xml:space="preserve">Y0364</t>
  </si>
  <si>
    <t xml:space="preserve">Y0365</t>
  </si>
  <si>
    <t xml:space="preserve">Y0366</t>
  </si>
  <si>
    <t xml:space="preserve">Y0367</t>
  </si>
  <si>
    <t xml:space="preserve">Y0368</t>
  </si>
  <si>
    <t xml:space="preserve">Y0369</t>
  </si>
  <si>
    <t xml:space="preserve">Y0370</t>
  </si>
  <si>
    <t xml:space="preserve">Y0371</t>
  </si>
  <si>
    <t xml:space="preserve">Y0372</t>
  </si>
  <si>
    <t xml:space="preserve">Y0373</t>
  </si>
  <si>
    <t xml:space="preserve">Y0374</t>
  </si>
  <si>
    <t xml:space="preserve">Y0375</t>
  </si>
  <si>
    <t xml:space="preserve">Y0376</t>
  </si>
  <si>
    <t xml:space="preserve">Y0377</t>
  </si>
  <si>
    <t xml:space="preserve">Y0378</t>
  </si>
  <si>
    <t xml:space="preserve">Y0379</t>
  </si>
  <si>
    <t xml:space="preserve">Y0380</t>
  </si>
  <si>
    <t xml:space="preserve">Y0381</t>
  </si>
  <si>
    <t xml:space="preserve">Y0382</t>
  </si>
  <si>
    <t xml:space="preserve">Y0383</t>
  </si>
  <si>
    <t xml:space="preserve">Y0384</t>
  </si>
  <si>
    <t xml:space="preserve">Y0385</t>
  </si>
  <si>
    <t xml:space="preserve">Y0386</t>
  </si>
  <si>
    <t xml:space="preserve">Y0387</t>
  </si>
  <si>
    <t xml:space="preserve">Y0388</t>
  </si>
  <si>
    <t xml:space="preserve">Y0389</t>
  </si>
  <si>
    <t xml:space="preserve">Y0390</t>
  </si>
  <si>
    <t xml:space="preserve">Y0391</t>
  </si>
  <si>
    <t xml:space="preserve">Y0392</t>
  </si>
  <si>
    <t xml:space="preserve">Y0393</t>
  </si>
  <si>
    <t xml:space="preserve">Y0394</t>
  </si>
  <si>
    <t xml:space="preserve">Y0395</t>
  </si>
  <si>
    <t xml:space="preserve">Y0396</t>
  </si>
  <si>
    <t xml:space="preserve">Y0397</t>
  </si>
  <si>
    <t xml:space="preserve">Y0398</t>
  </si>
  <si>
    <t xml:space="preserve">Y0399</t>
  </si>
  <si>
    <t xml:space="preserve">Y0400</t>
  </si>
  <si>
    <t xml:space="preserve">Y0401</t>
  </si>
  <si>
    <t xml:space="preserve">Y0402</t>
  </si>
  <si>
    <t xml:space="preserve">Y0403</t>
  </si>
  <si>
    <t xml:space="preserve">Y0404</t>
  </si>
  <si>
    <t xml:space="preserve">Y0405</t>
  </si>
  <si>
    <t xml:space="preserve">Y0406</t>
  </si>
  <si>
    <t xml:space="preserve">Y0407</t>
  </si>
  <si>
    <t xml:space="preserve">Y0408</t>
  </si>
  <si>
    <t xml:space="preserve">Y0409</t>
  </si>
  <si>
    <t xml:space="preserve">Y0410</t>
  </si>
  <si>
    <t xml:space="preserve">Y0411</t>
  </si>
  <si>
    <t xml:space="preserve">Y0412</t>
  </si>
  <si>
    <t xml:space="preserve">Y0413</t>
  </si>
  <si>
    <t xml:space="preserve">Y0414</t>
  </si>
  <si>
    <t xml:space="preserve">Y0415</t>
  </si>
  <si>
    <t xml:space="preserve">Y0416</t>
  </si>
  <si>
    <t xml:space="preserve">Y0417</t>
  </si>
  <si>
    <t xml:space="preserve">Y0418</t>
  </si>
  <si>
    <t xml:space="preserve">Y0419</t>
  </si>
  <si>
    <t xml:space="preserve">Y0420</t>
  </si>
  <si>
    <t xml:space="preserve">Y0421</t>
  </si>
  <si>
    <t xml:space="preserve">Y0422</t>
  </si>
  <si>
    <t xml:space="preserve">Y0423</t>
  </si>
  <si>
    <t xml:space="preserve">Y0424</t>
  </si>
  <si>
    <t xml:space="preserve">Y0425</t>
  </si>
  <si>
    <t xml:space="preserve">Y0426</t>
  </si>
  <si>
    <t xml:space="preserve">Y0427</t>
  </si>
  <si>
    <t xml:space="preserve">Y0428</t>
  </si>
  <si>
    <t xml:space="preserve">Y0429</t>
  </si>
  <si>
    <t xml:space="preserve">Y0430</t>
  </si>
  <si>
    <t xml:space="preserve">Y0431</t>
  </si>
  <si>
    <t xml:space="preserve">Y0432</t>
  </si>
  <si>
    <t xml:space="preserve">Y0433</t>
  </si>
  <si>
    <t xml:space="preserve">Y0434</t>
  </si>
  <si>
    <t xml:space="preserve">Y0435</t>
  </si>
  <si>
    <t xml:space="preserve">Y0436</t>
  </si>
  <si>
    <t xml:space="preserve">Y0437</t>
  </si>
  <si>
    <t xml:space="preserve">Y0438</t>
  </si>
  <si>
    <t xml:space="preserve">Y0439</t>
  </si>
  <si>
    <t xml:space="preserve">Y0440</t>
  </si>
  <si>
    <t xml:space="preserve">Y0441</t>
  </si>
  <si>
    <t xml:space="preserve">Y0442</t>
  </si>
  <si>
    <t xml:space="preserve">Y0443</t>
  </si>
  <si>
    <t xml:space="preserve">Y0444</t>
  </si>
  <si>
    <t xml:space="preserve">Y0445</t>
  </si>
  <si>
    <t xml:space="preserve">Y0446</t>
  </si>
  <si>
    <t xml:space="preserve">Y0447</t>
  </si>
  <si>
    <t xml:space="preserve">Y0448</t>
  </si>
  <si>
    <t xml:space="preserve">Y0449</t>
  </si>
  <si>
    <t xml:space="preserve">Y0450</t>
  </si>
  <si>
    <t xml:space="preserve">Y0451</t>
  </si>
  <si>
    <t xml:space="preserve">Y0452</t>
  </si>
  <si>
    <t xml:space="preserve">Y0453</t>
  </si>
  <si>
    <t xml:space="preserve">Y0454</t>
  </si>
  <si>
    <t xml:space="preserve">Y0455</t>
  </si>
  <si>
    <t xml:space="preserve">Y0456</t>
  </si>
  <si>
    <t xml:space="preserve">Y0457</t>
  </si>
  <si>
    <t xml:space="preserve">Y0458</t>
  </si>
  <si>
    <t xml:space="preserve">Y0459</t>
  </si>
  <si>
    <t xml:space="preserve">Y0460</t>
  </si>
  <si>
    <t xml:space="preserve">Y0461</t>
  </si>
  <si>
    <t xml:space="preserve">Y0462</t>
  </si>
  <si>
    <t xml:space="preserve">Y0463</t>
  </si>
  <si>
    <t xml:space="preserve">Y0464</t>
  </si>
  <si>
    <t xml:space="preserve">Y0465</t>
  </si>
  <si>
    <t xml:space="preserve">Y0466</t>
  </si>
  <si>
    <t xml:space="preserve">Y0467</t>
  </si>
  <si>
    <t xml:space="preserve">Y0468</t>
  </si>
  <si>
    <t xml:space="preserve">Y0469</t>
  </si>
  <si>
    <t xml:space="preserve">Y0470</t>
  </si>
  <si>
    <t xml:space="preserve">Y0471</t>
  </si>
  <si>
    <t xml:space="preserve">Y0472</t>
  </si>
  <si>
    <t xml:space="preserve">Y0473</t>
  </si>
  <si>
    <t xml:space="preserve">Y0474</t>
  </si>
  <si>
    <t xml:space="preserve">Y0475</t>
  </si>
  <si>
    <t xml:space="preserve">Y0476</t>
  </si>
  <si>
    <t xml:space="preserve">Y0477</t>
  </si>
  <si>
    <t xml:space="preserve">Y0478</t>
  </si>
  <si>
    <t xml:space="preserve">Y0479</t>
  </si>
  <si>
    <t xml:space="preserve">Y0480</t>
  </si>
  <si>
    <t xml:space="preserve">Y0481</t>
  </si>
  <si>
    <t xml:space="preserve">Y0482</t>
  </si>
  <si>
    <t xml:space="preserve">Y0483</t>
  </si>
  <si>
    <t xml:space="preserve">Y0484</t>
  </si>
  <si>
    <t xml:space="preserve">Y0485</t>
  </si>
  <si>
    <t xml:space="preserve">Y0486</t>
  </si>
  <si>
    <t xml:space="preserve">Y0487</t>
  </si>
  <si>
    <t xml:space="preserve">Y0488</t>
  </si>
  <si>
    <t xml:space="preserve">Y0489</t>
  </si>
  <si>
    <t xml:space="preserve">Y0490</t>
  </si>
  <si>
    <t xml:space="preserve">Y0491</t>
  </si>
  <si>
    <t xml:space="preserve">Y0492</t>
  </si>
  <si>
    <t xml:space="preserve">Y0493</t>
  </si>
  <si>
    <t xml:space="preserve">Y0494</t>
  </si>
  <si>
    <t xml:space="preserve">Y0495</t>
  </si>
  <si>
    <t xml:space="preserve">Y0496</t>
  </si>
  <si>
    <t xml:space="preserve">Y0497</t>
  </si>
  <si>
    <t xml:space="preserve">Y0498</t>
  </si>
  <si>
    <t xml:space="preserve">Y0499</t>
  </si>
  <si>
    <t xml:space="preserve">Y0500</t>
  </si>
  <si>
    <t xml:space="preserve">Y0501</t>
  </si>
  <si>
    <t xml:space="preserve">Y0502</t>
  </si>
  <si>
    <t xml:space="preserve">Y0503</t>
  </si>
  <si>
    <t xml:space="preserve">Y0504</t>
  </si>
  <si>
    <t xml:space="preserve">Y0505</t>
  </si>
  <si>
    <t xml:space="preserve">Y0506</t>
  </si>
  <si>
    <t xml:space="preserve">Y0507</t>
  </si>
  <si>
    <t xml:space="preserve">Y0508</t>
  </si>
  <si>
    <t xml:space="preserve">Y0509</t>
  </si>
  <si>
    <t xml:space="preserve">Y0510</t>
  </si>
  <si>
    <t xml:space="preserve">Y0511</t>
  </si>
  <si>
    <t xml:space="preserve">Y0512</t>
  </si>
  <si>
    <t xml:space="preserve">Y0513</t>
  </si>
  <si>
    <t xml:space="preserve">Y0514</t>
  </si>
  <si>
    <t xml:space="preserve">Y0515</t>
  </si>
  <si>
    <t xml:space="preserve">Y0516</t>
  </si>
  <si>
    <t xml:space="preserve">Y0517</t>
  </si>
  <si>
    <t xml:space="preserve">Y0518</t>
  </si>
  <si>
    <t xml:space="preserve">Y0519</t>
  </si>
  <si>
    <t xml:space="preserve">Y0520</t>
  </si>
  <si>
    <t xml:space="preserve">Y0521</t>
  </si>
  <si>
    <t xml:space="preserve">Y0522</t>
  </si>
  <si>
    <t xml:space="preserve">Y0523</t>
  </si>
  <si>
    <t xml:space="preserve">Y0524</t>
  </si>
  <si>
    <t xml:space="preserve">Y0525</t>
  </si>
  <si>
    <t xml:space="preserve">Y0526</t>
  </si>
  <si>
    <t xml:space="preserve">Y0527</t>
  </si>
  <si>
    <t xml:space="preserve">Y0528</t>
  </si>
  <si>
    <t xml:space="preserve">Y0529</t>
  </si>
  <si>
    <t xml:space="preserve">Y0530</t>
  </si>
  <si>
    <t xml:space="preserve">Y0531</t>
  </si>
  <si>
    <t xml:space="preserve">Y0532</t>
  </si>
  <si>
    <t xml:space="preserve">Y0533</t>
  </si>
  <si>
    <t xml:space="preserve">Y0534</t>
  </si>
  <si>
    <t xml:space="preserve">Y0535</t>
  </si>
  <si>
    <t xml:space="preserve">Y0536</t>
  </si>
  <si>
    <t xml:space="preserve">Y0537</t>
  </si>
  <si>
    <t xml:space="preserve">Y0538</t>
  </si>
  <si>
    <t xml:space="preserve">Y0539</t>
  </si>
  <si>
    <t xml:space="preserve">Y0540</t>
  </si>
  <si>
    <t xml:space="preserve">Y0541</t>
  </si>
  <si>
    <t xml:space="preserve">Y0542</t>
  </si>
  <si>
    <t xml:space="preserve">Y0543</t>
  </si>
  <si>
    <t xml:space="preserve">Y0544</t>
  </si>
  <si>
    <t xml:space="preserve">Y0545</t>
  </si>
  <si>
    <t xml:space="preserve">Y0546</t>
  </si>
  <si>
    <t xml:space="preserve">Y0547</t>
  </si>
  <si>
    <t xml:space="preserve">Y0548</t>
  </si>
  <si>
    <t xml:space="preserve">Y0549</t>
  </si>
  <si>
    <t xml:space="preserve">Y0550</t>
  </si>
  <si>
    <t xml:space="preserve">Y0551</t>
  </si>
  <si>
    <t xml:space="preserve">Y0552</t>
  </si>
  <si>
    <t xml:space="preserve">Y0553</t>
  </si>
  <si>
    <t xml:space="preserve">Y0554</t>
  </si>
  <si>
    <t xml:space="preserve">Y0555</t>
  </si>
  <si>
    <t xml:space="preserve">Y0556</t>
  </si>
  <si>
    <t xml:space="preserve">Y0557</t>
  </si>
  <si>
    <t xml:space="preserve">Y0558</t>
  </si>
  <si>
    <t xml:space="preserve">Y0559</t>
  </si>
  <si>
    <t xml:space="preserve">Y0560</t>
  </si>
  <si>
    <t xml:space="preserve">Y0561</t>
  </si>
  <si>
    <t xml:space="preserve">Y0562</t>
  </si>
  <si>
    <t xml:space="preserve">Y0563</t>
  </si>
  <si>
    <t xml:space="preserve">Y0564</t>
  </si>
  <si>
    <t xml:space="preserve">Y0565</t>
  </si>
  <si>
    <t xml:space="preserve">Y0566</t>
  </si>
  <si>
    <t xml:space="preserve">Y0567</t>
  </si>
  <si>
    <t xml:space="preserve">Y0568</t>
  </si>
  <si>
    <t xml:space="preserve">Y0569</t>
  </si>
  <si>
    <t xml:space="preserve">Y0570</t>
  </si>
  <si>
    <t xml:space="preserve">Y0571</t>
  </si>
  <si>
    <t xml:space="preserve">Y0572</t>
  </si>
  <si>
    <t xml:space="preserve">Y0573</t>
  </si>
  <si>
    <t xml:space="preserve">Y0574</t>
  </si>
  <si>
    <t xml:space="preserve">Y0575</t>
  </si>
  <si>
    <t xml:space="preserve">Y0576</t>
  </si>
  <si>
    <t xml:space="preserve">Y0577</t>
  </si>
  <si>
    <t xml:space="preserve">Y0578</t>
  </si>
  <si>
    <t xml:space="preserve">Y0579</t>
  </si>
  <si>
    <t xml:space="preserve">Y0580</t>
  </si>
  <si>
    <t xml:space="preserve">Y0581</t>
  </si>
  <si>
    <t xml:space="preserve">Y0582</t>
  </si>
  <si>
    <t xml:space="preserve">Y0583</t>
  </si>
  <si>
    <t xml:space="preserve">Y0584</t>
  </si>
  <si>
    <t xml:space="preserve">Y0585</t>
  </si>
  <si>
    <t xml:space="preserve">Y0586</t>
  </si>
  <si>
    <t xml:space="preserve">Y0587</t>
  </si>
  <si>
    <t xml:space="preserve">Y0588</t>
  </si>
  <si>
    <t xml:space="preserve">Y0589</t>
  </si>
  <si>
    <t xml:space="preserve">Y0590</t>
  </si>
  <si>
    <t xml:space="preserve">Y0591</t>
  </si>
  <si>
    <t xml:space="preserve">Y0592</t>
  </si>
  <si>
    <t xml:space="preserve">Y0593</t>
  </si>
  <si>
    <t xml:space="preserve">Y0594</t>
  </si>
  <si>
    <t xml:space="preserve">Y0595</t>
  </si>
  <si>
    <t xml:space="preserve">Y0596</t>
  </si>
  <si>
    <t xml:space="preserve">Y0597</t>
  </si>
  <si>
    <t xml:space="preserve">Y0598</t>
  </si>
  <si>
    <t xml:space="preserve">Y0599</t>
  </si>
  <si>
    <t xml:space="preserve">Y0600</t>
  </si>
  <si>
    <t xml:space="preserve">Y0601</t>
  </si>
  <si>
    <t xml:space="preserve">Y0602</t>
  </si>
  <si>
    <t xml:space="preserve">Y0603</t>
  </si>
  <si>
    <t xml:space="preserve">Y0604</t>
  </si>
  <si>
    <t xml:space="preserve">Y0605</t>
  </si>
  <si>
    <t xml:space="preserve">Y0606</t>
  </si>
  <si>
    <t xml:space="preserve">Y0607</t>
  </si>
  <si>
    <t xml:space="preserve">Y0608</t>
  </si>
  <si>
    <t xml:space="preserve">Y0609</t>
  </si>
  <si>
    <t xml:space="preserve">Y0610</t>
  </si>
  <si>
    <t xml:space="preserve">Y0611</t>
  </si>
  <si>
    <t xml:space="preserve">Y0612</t>
  </si>
  <si>
    <t xml:space="preserve">Y0613</t>
  </si>
  <si>
    <t xml:space="preserve">Y0614</t>
  </si>
  <si>
    <t xml:space="preserve">Y0615</t>
  </si>
  <si>
    <t xml:space="preserve">Y0616</t>
  </si>
  <si>
    <t xml:space="preserve">Y0617</t>
  </si>
  <si>
    <t xml:space="preserve">Y0618</t>
  </si>
  <si>
    <t xml:space="preserve">Y0619</t>
  </si>
  <si>
    <t xml:space="preserve">Y0620</t>
  </si>
  <si>
    <t xml:space="preserve">Y0621</t>
  </si>
  <si>
    <t xml:space="preserve">Y0622</t>
  </si>
  <si>
    <t xml:space="preserve">Y0623</t>
  </si>
  <si>
    <t xml:space="preserve">Y0624</t>
  </si>
  <si>
    <t xml:space="preserve">Y0625</t>
  </si>
  <si>
    <t xml:space="preserve">Y0626</t>
  </si>
  <si>
    <t xml:space="preserve">Y0627</t>
  </si>
  <si>
    <t xml:space="preserve">Y0628</t>
  </si>
  <si>
    <t xml:space="preserve">Y0629</t>
  </si>
  <si>
    <t xml:space="preserve">Y0630</t>
  </si>
  <si>
    <t xml:space="preserve">Y0631</t>
  </si>
  <si>
    <t xml:space="preserve">Y0632</t>
  </si>
  <si>
    <t xml:space="preserve">Y0633</t>
  </si>
  <si>
    <t xml:space="preserve">Y0634</t>
  </si>
  <si>
    <t xml:space="preserve">Y0635</t>
  </si>
  <si>
    <t xml:space="preserve">Y0636</t>
  </si>
  <si>
    <t xml:space="preserve">Y0637</t>
  </si>
  <si>
    <t xml:space="preserve">Y0638</t>
  </si>
  <si>
    <t xml:space="preserve">Y0639</t>
  </si>
  <si>
    <t xml:space="preserve">Y0640</t>
  </si>
  <si>
    <t xml:space="preserve">Y0641</t>
  </si>
  <si>
    <t xml:space="preserve">Y0642</t>
  </si>
  <si>
    <t xml:space="preserve">Y0643</t>
  </si>
  <si>
    <t xml:space="preserve">Y0644</t>
  </si>
  <si>
    <t xml:space="preserve">Y0645</t>
  </si>
  <si>
    <t xml:space="preserve">Y0646</t>
  </si>
  <si>
    <t xml:space="preserve">Y0647</t>
  </si>
  <si>
    <t xml:space="preserve">Y0648</t>
  </si>
  <si>
    <t xml:space="preserve">Y0649</t>
  </si>
  <si>
    <t xml:space="preserve">Y0650</t>
  </si>
  <si>
    <t xml:space="preserve">Y0651</t>
  </si>
  <si>
    <t xml:space="preserve">Y0652</t>
  </si>
  <si>
    <t xml:space="preserve">Y0653</t>
  </si>
  <si>
    <t xml:space="preserve">Y0654</t>
  </si>
  <si>
    <t xml:space="preserve">Y0655</t>
  </si>
  <si>
    <t xml:space="preserve">Y0656</t>
  </si>
  <si>
    <t xml:space="preserve">Y0657</t>
  </si>
  <si>
    <t xml:space="preserve">Y0658</t>
  </si>
  <si>
    <t xml:space="preserve">Y0659</t>
  </si>
  <si>
    <t xml:space="preserve">Y0660</t>
  </si>
  <si>
    <t xml:space="preserve">Y0661</t>
  </si>
  <si>
    <t xml:space="preserve">Y0662</t>
  </si>
  <si>
    <t xml:space="preserve">Y0663</t>
  </si>
  <si>
    <t xml:space="preserve">Y0664</t>
  </si>
  <si>
    <t xml:space="preserve">Y0665</t>
  </si>
  <si>
    <t xml:space="preserve">Y0666</t>
  </si>
  <si>
    <t xml:space="preserve">Y0667</t>
  </si>
  <si>
    <t xml:space="preserve">Y0668</t>
  </si>
  <si>
    <t xml:space="preserve">Y0669</t>
  </si>
  <si>
    <t xml:space="preserve">Y0670</t>
  </si>
  <si>
    <t xml:space="preserve">Y0671</t>
  </si>
  <si>
    <t xml:space="preserve">Y0672</t>
  </si>
  <si>
    <t xml:space="preserve">Y0673</t>
  </si>
  <si>
    <t xml:space="preserve">Y0674</t>
  </si>
  <si>
    <t xml:space="preserve">Y0675</t>
  </si>
  <si>
    <t xml:space="preserve">Y0676</t>
  </si>
  <si>
    <t xml:space="preserve">Y0677</t>
  </si>
  <si>
    <t xml:space="preserve">Y0678</t>
  </si>
  <si>
    <t xml:space="preserve">Y0679</t>
  </si>
  <si>
    <t xml:space="preserve">Y0680</t>
  </si>
  <si>
    <t xml:space="preserve">Y0681</t>
  </si>
  <si>
    <t xml:space="preserve">Y0682</t>
  </si>
  <si>
    <t xml:space="preserve">Y0683</t>
  </si>
  <si>
    <t xml:space="preserve">Y0684</t>
  </si>
  <si>
    <t xml:space="preserve">Y0685</t>
  </si>
  <si>
    <t xml:space="preserve">Y0686</t>
  </si>
  <si>
    <t xml:space="preserve">Y0687</t>
  </si>
  <si>
    <t xml:space="preserve">Y0688</t>
  </si>
  <si>
    <t xml:space="preserve">Y0689</t>
  </si>
  <si>
    <t xml:space="preserve">Y0690</t>
  </si>
  <si>
    <t xml:space="preserve">Y0691</t>
  </si>
  <si>
    <t xml:space="preserve">Y0692</t>
  </si>
  <si>
    <t xml:space="preserve">Y0693</t>
  </si>
  <si>
    <t xml:space="preserve">Y0694</t>
  </si>
  <si>
    <t xml:space="preserve">Y0695</t>
  </si>
  <si>
    <t xml:space="preserve">Y0696</t>
  </si>
  <si>
    <t xml:space="preserve">Y0697</t>
  </si>
  <si>
    <t xml:space="preserve">Y0698</t>
  </si>
  <si>
    <t xml:space="preserve">Y0699</t>
  </si>
  <si>
    <t xml:space="preserve">Y0700</t>
  </si>
  <si>
    <t xml:space="preserve">Y0701</t>
  </si>
  <si>
    <t xml:space="preserve">Y0702</t>
  </si>
  <si>
    <t xml:space="preserve">Y0703</t>
  </si>
  <si>
    <t xml:space="preserve">Y0704</t>
  </si>
  <si>
    <t xml:space="preserve">Y0705</t>
  </si>
  <si>
    <t xml:space="preserve">Y0706</t>
  </si>
  <si>
    <t xml:space="preserve">Y0707</t>
  </si>
  <si>
    <t xml:space="preserve">Y0708</t>
  </si>
  <si>
    <t xml:space="preserve">Y0709</t>
  </si>
  <si>
    <t xml:space="preserve">Y0710</t>
  </si>
  <si>
    <t xml:space="preserve">Y0711</t>
  </si>
  <si>
    <t xml:space="preserve">Y0712</t>
  </si>
  <si>
    <t xml:space="preserve">Y0713</t>
  </si>
  <si>
    <t xml:space="preserve">Y0714</t>
  </si>
  <si>
    <t xml:space="preserve">Y0715</t>
  </si>
  <si>
    <t xml:space="preserve">Y0716</t>
  </si>
  <si>
    <t xml:space="preserve">Y0717</t>
  </si>
  <si>
    <t xml:space="preserve">Y0718</t>
  </si>
  <si>
    <t xml:space="preserve">Y0719</t>
  </si>
  <si>
    <t xml:space="preserve">Y0720</t>
  </si>
  <si>
    <t xml:space="preserve">Y0721</t>
  </si>
  <si>
    <t xml:space="preserve">Y0722</t>
  </si>
  <si>
    <t xml:space="preserve">Y0723</t>
  </si>
  <si>
    <t xml:space="preserve">Y0724</t>
  </si>
  <si>
    <t xml:space="preserve">Y0725</t>
  </si>
  <si>
    <t xml:space="preserve">Y0726</t>
  </si>
  <si>
    <t xml:space="preserve">Y0727</t>
  </si>
  <si>
    <t xml:space="preserve">Y0728</t>
  </si>
  <si>
    <t xml:space="preserve">Y0729</t>
  </si>
  <si>
    <t xml:space="preserve">Y0730</t>
  </si>
  <si>
    <t xml:space="preserve">Y0731</t>
  </si>
  <si>
    <t xml:space="preserve">Y0732</t>
  </si>
  <si>
    <t xml:space="preserve">Y0733</t>
  </si>
  <si>
    <t xml:space="preserve">Y0734</t>
  </si>
  <si>
    <t xml:space="preserve">Y0735</t>
  </si>
  <si>
    <t xml:space="preserve">Y0736</t>
  </si>
  <si>
    <t xml:space="preserve">Y0737</t>
  </si>
  <si>
    <t xml:space="preserve">Y0738</t>
  </si>
  <si>
    <t xml:space="preserve">Y0739</t>
  </si>
  <si>
    <t xml:space="preserve">Y0740</t>
  </si>
  <si>
    <t xml:space="preserve">Y0741</t>
  </si>
  <si>
    <t xml:space="preserve">Y0742</t>
  </si>
  <si>
    <t xml:space="preserve">Y0743</t>
  </si>
  <si>
    <t xml:space="preserve">Y0744</t>
  </si>
  <si>
    <t xml:space="preserve">Y0745</t>
  </si>
  <si>
    <t xml:space="preserve">Y0746</t>
  </si>
  <si>
    <t xml:space="preserve">Y0747</t>
  </si>
  <si>
    <t xml:space="preserve">Y0748</t>
  </si>
  <si>
    <t xml:space="preserve">Y0749</t>
  </si>
  <si>
    <t xml:space="preserve">Y0750</t>
  </si>
  <si>
    <t xml:space="preserve">Y0751</t>
  </si>
  <si>
    <t xml:space="preserve">Y0752</t>
  </si>
  <si>
    <t xml:space="preserve">Y0753</t>
  </si>
  <si>
    <t xml:space="preserve">Y0754</t>
  </si>
  <si>
    <t xml:space="preserve">Y0755</t>
  </si>
  <si>
    <t xml:space="preserve">Y0756</t>
  </si>
  <si>
    <t xml:space="preserve">Y0757</t>
  </si>
  <si>
    <t xml:space="preserve">Y0758</t>
  </si>
  <si>
    <t xml:space="preserve">Y0759</t>
  </si>
  <si>
    <t xml:space="preserve">Y0760</t>
  </si>
  <si>
    <t xml:space="preserve">Y0761</t>
  </si>
  <si>
    <t xml:space="preserve">Y0762</t>
  </si>
  <si>
    <t xml:space="preserve">Y0763</t>
  </si>
  <si>
    <t xml:space="preserve">Y0764</t>
  </si>
  <si>
    <t xml:space="preserve">Y0765</t>
  </si>
  <si>
    <t xml:space="preserve">Y0766</t>
  </si>
  <si>
    <t xml:space="preserve">Y0767</t>
  </si>
  <si>
    <t xml:space="preserve">Y0768</t>
  </si>
  <si>
    <t xml:space="preserve">Y0769</t>
  </si>
  <si>
    <t xml:space="preserve">Y0770</t>
  </si>
  <si>
    <t xml:space="preserve">Y0771</t>
  </si>
  <si>
    <t xml:space="preserve">Y0772</t>
  </si>
  <si>
    <t xml:space="preserve">Y0773</t>
  </si>
  <si>
    <t xml:space="preserve">Y0774</t>
  </si>
  <si>
    <t xml:space="preserve">Y0775</t>
  </si>
  <si>
    <t xml:space="preserve">Y0776</t>
  </si>
  <si>
    <t xml:space="preserve">Y0777</t>
  </si>
  <si>
    <t xml:space="preserve">Y0778</t>
  </si>
  <si>
    <t xml:space="preserve">Y0779</t>
  </si>
  <si>
    <t xml:space="preserve">Y0780</t>
  </si>
  <si>
    <t xml:space="preserve">Y0781</t>
  </si>
  <si>
    <t xml:space="preserve">Y0782</t>
  </si>
  <si>
    <t xml:space="preserve">Y0783</t>
  </si>
  <si>
    <t xml:space="preserve">Y0784</t>
  </si>
  <si>
    <t xml:space="preserve">Y0785</t>
  </si>
  <si>
    <t xml:space="preserve">Y0786</t>
  </si>
  <si>
    <t xml:space="preserve">Y0787</t>
  </si>
  <si>
    <t xml:space="preserve">Y0788</t>
  </si>
  <si>
    <t xml:space="preserve">Y0789</t>
  </si>
  <si>
    <t xml:space="preserve">Y0790</t>
  </si>
  <si>
    <t xml:space="preserve">Y0791</t>
  </si>
  <si>
    <t xml:space="preserve">Y0792</t>
  </si>
  <si>
    <t xml:space="preserve">Y0793</t>
  </si>
  <si>
    <t xml:space="preserve">Y0794</t>
  </si>
  <si>
    <t xml:space="preserve">Y0795</t>
  </si>
  <si>
    <t xml:space="preserve">Y0796</t>
  </si>
  <si>
    <t xml:space="preserve">Y0797</t>
  </si>
  <si>
    <t xml:space="preserve">Y0798</t>
  </si>
  <si>
    <t xml:space="preserve">Y0799</t>
  </si>
  <si>
    <t xml:space="preserve">Y0800</t>
  </si>
  <si>
    <t xml:space="preserve">Y0801</t>
  </si>
  <si>
    <t xml:space="preserve">Y0802</t>
  </si>
  <si>
    <t xml:space="preserve">Y0803</t>
  </si>
  <si>
    <t xml:space="preserve">Y0804</t>
  </si>
  <si>
    <t xml:space="preserve">Y0805</t>
  </si>
  <si>
    <t xml:space="preserve">Y0806</t>
  </si>
  <si>
    <t xml:space="preserve">Y0807</t>
  </si>
  <si>
    <t xml:space="preserve">Y0808</t>
  </si>
  <si>
    <t xml:space="preserve">Y0809</t>
  </si>
  <si>
    <t xml:space="preserve">Y0810</t>
  </si>
  <si>
    <t xml:space="preserve">Y0811</t>
  </si>
  <si>
    <t xml:space="preserve">Y0812</t>
  </si>
  <si>
    <t xml:space="preserve">Y0813</t>
  </si>
  <si>
    <t xml:space="preserve">Y0814</t>
  </si>
  <si>
    <t xml:space="preserve">Y0815</t>
  </si>
  <si>
    <t xml:space="preserve">Y0816</t>
  </si>
  <si>
    <t xml:space="preserve">Y0817</t>
  </si>
  <si>
    <t xml:space="preserve">Y0818</t>
  </si>
  <si>
    <t xml:space="preserve">Y0819</t>
  </si>
  <si>
    <t xml:space="preserve">Y0820</t>
  </si>
  <si>
    <t xml:space="preserve">Y0821</t>
  </si>
  <si>
    <t xml:space="preserve">Y0822</t>
  </si>
  <si>
    <t xml:space="preserve">Y0823</t>
  </si>
  <si>
    <t xml:space="preserve">Y0824</t>
  </si>
  <si>
    <t xml:space="preserve">Y0825</t>
  </si>
  <si>
    <t xml:space="preserve">Y0826</t>
  </si>
  <si>
    <t xml:space="preserve">Y0827</t>
  </si>
  <si>
    <t xml:space="preserve">Y0828</t>
  </si>
  <si>
    <t xml:space="preserve">Y0829</t>
  </si>
  <si>
    <t xml:space="preserve">Y0830</t>
  </si>
  <si>
    <t xml:space="preserve">Y0831</t>
  </si>
  <si>
    <t xml:space="preserve">Y0832</t>
  </si>
  <si>
    <t xml:space="preserve">Y0833</t>
  </si>
  <si>
    <t xml:space="preserve">Y0834</t>
  </si>
  <si>
    <t xml:space="preserve">Y0835</t>
  </si>
  <si>
    <t xml:space="preserve">Y0836</t>
  </si>
  <si>
    <t xml:space="preserve">Y0837</t>
  </si>
  <si>
    <t xml:space="preserve">Y0838</t>
  </si>
  <si>
    <t xml:space="preserve">Y0839</t>
  </si>
  <si>
    <t xml:space="preserve">Y0840</t>
  </si>
  <si>
    <t xml:space="preserve">Y0841</t>
  </si>
  <si>
    <t xml:space="preserve">Y0842</t>
  </si>
  <si>
    <t xml:space="preserve">Y0843</t>
  </si>
  <si>
    <t xml:space="preserve">Y0844</t>
  </si>
  <si>
    <t xml:space="preserve">Y0845</t>
  </si>
  <si>
    <t xml:space="preserve">Y0846</t>
  </si>
  <si>
    <t xml:space="preserve">Y0847</t>
  </si>
  <si>
    <t xml:space="preserve">Y0848</t>
  </si>
  <si>
    <t xml:space="preserve">Y0849</t>
  </si>
  <si>
    <t xml:space="preserve">Y0850</t>
  </si>
  <si>
    <t xml:space="preserve">Y0851</t>
  </si>
  <si>
    <t xml:space="preserve">Y0852</t>
  </si>
  <si>
    <t xml:space="preserve">Y0853</t>
  </si>
  <si>
    <t xml:space="preserve">Y0854</t>
  </si>
  <si>
    <t xml:space="preserve">Y0855</t>
  </si>
  <si>
    <t xml:space="preserve">Y0856</t>
  </si>
  <si>
    <t xml:space="preserve">Y0857</t>
  </si>
  <si>
    <t xml:space="preserve">Y0858</t>
  </si>
  <si>
    <t xml:space="preserve">Y0859</t>
  </si>
  <si>
    <t xml:space="preserve">Y0860</t>
  </si>
  <si>
    <t xml:space="preserve">Y0861</t>
  </si>
  <si>
    <t xml:space="preserve">Y0862</t>
  </si>
  <si>
    <t xml:space="preserve">Y0863</t>
  </si>
  <si>
    <t xml:space="preserve">Y0864</t>
  </si>
  <si>
    <t xml:space="preserve">Y0865</t>
  </si>
  <si>
    <t xml:space="preserve">Y0866</t>
  </si>
  <si>
    <t xml:space="preserve">Y0867</t>
  </si>
  <si>
    <t xml:space="preserve">Y0868</t>
  </si>
  <si>
    <t xml:space="preserve">Y0869</t>
  </si>
  <si>
    <t xml:space="preserve">Y0870</t>
  </si>
  <si>
    <t xml:space="preserve">Y0871</t>
  </si>
  <si>
    <t xml:space="preserve">Y0872</t>
  </si>
  <si>
    <t xml:space="preserve">Y0873</t>
  </si>
  <si>
    <t xml:space="preserve">Y0874</t>
  </si>
  <si>
    <t xml:space="preserve">Y0875</t>
  </si>
  <si>
    <t xml:space="preserve">Y0876</t>
  </si>
  <si>
    <t xml:space="preserve">Y0877</t>
  </si>
  <si>
    <t xml:space="preserve">Y0878</t>
  </si>
  <si>
    <t xml:space="preserve">Y0879</t>
  </si>
  <si>
    <t xml:space="preserve">Y0880</t>
  </si>
  <si>
    <t xml:space="preserve">Y0881</t>
  </si>
  <si>
    <t xml:space="preserve">Y0882</t>
  </si>
  <si>
    <t xml:space="preserve">Y0883</t>
  </si>
  <si>
    <t xml:space="preserve">Y0884</t>
  </si>
  <si>
    <t xml:space="preserve">Y0885</t>
  </si>
  <si>
    <t xml:space="preserve">Y0886</t>
  </si>
  <si>
    <t xml:space="preserve">Y0887</t>
  </si>
  <si>
    <t xml:space="preserve">Y0888</t>
  </si>
  <si>
    <t xml:space="preserve">Y0889</t>
  </si>
  <si>
    <t xml:space="preserve">Y0890</t>
  </si>
  <si>
    <t xml:space="preserve">Y0891</t>
  </si>
  <si>
    <t xml:space="preserve">Y0892</t>
  </si>
  <si>
    <t xml:space="preserve">Y0893</t>
  </si>
  <si>
    <t xml:space="preserve">Y0894</t>
  </si>
  <si>
    <t xml:space="preserve">Y0895</t>
  </si>
  <si>
    <t xml:space="preserve">Y0896</t>
  </si>
  <si>
    <t xml:space="preserve">Y0897</t>
  </si>
  <si>
    <t xml:space="preserve">Y0898</t>
  </si>
  <si>
    <t xml:space="preserve">Y0899</t>
  </si>
  <si>
    <t xml:space="preserve">Y0900</t>
  </si>
  <si>
    <t xml:space="preserve">Y0901</t>
  </si>
  <si>
    <t xml:space="preserve">Y0902</t>
  </si>
  <si>
    <t xml:space="preserve">Y0903</t>
  </si>
  <si>
    <t xml:space="preserve">Y0904</t>
  </si>
  <si>
    <t xml:space="preserve">Y0905</t>
  </si>
  <si>
    <t xml:space="preserve">Y0906</t>
  </si>
  <si>
    <t xml:space="preserve">Y0907</t>
  </si>
  <si>
    <t xml:space="preserve">Y0908</t>
  </si>
  <si>
    <t xml:space="preserve">Y0909</t>
  </si>
  <si>
    <t xml:space="preserve">Y0910</t>
  </si>
  <si>
    <t xml:space="preserve">Y0911</t>
  </si>
  <si>
    <t xml:space="preserve">Y0912</t>
  </si>
  <si>
    <t xml:space="preserve">Y0913</t>
  </si>
  <si>
    <t xml:space="preserve">Y0914</t>
  </si>
  <si>
    <t xml:space="preserve">Y0915</t>
  </si>
  <si>
    <t xml:space="preserve">Y0916</t>
  </si>
  <si>
    <t xml:space="preserve">Y0917</t>
  </si>
  <si>
    <t xml:space="preserve">Y0918</t>
  </si>
  <si>
    <t xml:space="preserve">Y0919</t>
  </si>
  <si>
    <t xml:space="preserve">Y0920</t>
  </si>
  <si>
    <t xml:space="preserve">Y0921</t>
  </si>
  <si>
    <t xml:space="preserve">Y0922</t>
  </si>
  <si>
    <t xml:space="preserve">Y0923</t>
  </si>
  <si>
    <t xml:space="preserve">Y0924</t>
  </si>
  <si>
    <t xml:space="preserve">Y0925</t>
  </si>
  <si>
    <t xml:space="preserve">Y0926</t>
  </si>
  <si>
    <t xml:space="preserve">Y0927</t>
  </si>
  <si>
    <t xml:space="preserve">Y0928</t>
  </si>
  <si>
    <t xml:space="preserve">Y0929</t>
  </si>
  <si>
    <t xml:space="preserve">Y0930</t>
  </si>
  <si>
    <t xml:space="preserve">Y0931</t>
  </si>
  <si>
    <t xml:space="preserve">Y0932</t>
  </si>
  <si>
    <t xml:space="preserve">Y0933</t>
  </si>
  <si>
    <t xml:space="preserve">Y0934</t>
  </si>
  <si>
    <t xml:space="preserve">Y0935</t>
  </si>
  <si>
    <t xml:space="preserve">Y0936</t>
  </si>
  <si>
    <t xml:space="preserve">Y0937</t>
  </si>
  <si>
    <t xml:space="preserve">Y0938</t>
  </si>
  <si>
    <t xml:space="preserve">Y0939</t>
  </si>
  <si>
    <t xml:space="preserve">Y0940</t>
  </si>
  <si>
    <t xml:space="preserve">Y0941</t>
  </si>
  <si>
    <t xml:space="preserve">Y0942</t>
  </si>
  <si>
    <t xml:space="preserve">Y0943</t>
  </si>
  <si>
    <t xml:space="preserve">Y0944</t>
  </si>
  <si>
    <t xml:space="preserve">Y0945</t>
  </si>
  <si>
    <t xml:space="preserve">Y0946</t>
  </si>
  <si>
    <t xml:space="preserve">Y0947</t>
  </si>
  <si>
    <t xml:space="preserve">Y0948</t>
  </si>
  <si>
    <t xml:space="preserve">Y0949</t>
  </si>
  <si>
    <t xml:space="preserve">Y0950</t>
  </si>
  <si>
    <t xml:space="preserve">Y0951</t>
  </si>
  <si>
    <t xml:space="preserve">Y0952</t>
  </si>
  <si>
    <t xml:space="preserve">Y0953</t>
  </si>
  <si>
    <t xml:space="preserve">Y0954</t>
  </si>
  <si>
    <t xml:space="preserve">Y0955</t>
  </si>
  <si>
    <t xml:space="preserve">Y0956</t>
  </si>
  <si>
    <t xml:space="preserve">Y0957</t>
  </si>
  <si>
    <t xml:space="preserve">Y0958</t>
  </si>
  <si>
    <t xml:space="preserve">Y0959</t>
  </si>
  <si>
    <t xml:space="preserve">Y0960</t>
  </si>
  <si>
    <t xml:space="preserve">Y0961</t>
  </si>
  <si>
    <t xml:space="preserve">Y0962</t>
  </si>
  <si>
    <t xml:space="preserve">Y0963</t>
  </si>
  <si>
    <t xml:space="preserve">Y0964</t>
  </si>
  <si>
    <t xml:space="preserve">Y0965</t>
  </si>
  <si>
    <t xml:space="preserve">Y0966</t>
  </si>
  <si>
    <t xml:space="preserve">Y0967</t>
  </si>
  <si>
    <t xml:space="preserve">Y0968</t>
  </si>
  <si>
    <t xml:space="preserve">Y0969</t>
  </si>
  <si>
    <t xml:space="preserve">Y0970</t>
  </si>
  <si>
    <t xml:space="preserve">Y0971</t>
  </si>
  <si>
    <t xml:space="preserve">Y0972</t>
  </si>
  <si>
    <t xml:space="preserve">Y0973</t>
  </si>
  <si>
    <t xml:space="preserve">Y0974</t>
  </si>
  <si>
    <t xml:space="preserve">Y0975</t>
  </si>
  <si>
    <t xml:space="preserve">Y0976</t>
  </si>
  <si>
    <t xml:space="preserve">Y0977</t>
  </si>
  <si>
    <t xml:space="preserve">Y0978</t>
  </si>
  <si>
    <t xml:space="preserve">Y0979</t>
  </si>
  <si>
    <t xml:space="preserve">Y0980</t>
  </si>
  <si>
    <t xml:space="preserve">Y0981</t>
  </si>
  <si>
    <t xml:space="preserve">Y0982</t>
  </si>
  <si>
    <t xml:space="preserve">Y0983</t>
  </si>
  <si>
    <t xml:space="preserve">Y0984</t>
  </si>
  <si>
    <t xml:space="preserve">Y0985</t>
  </si>
  <si>
    <t xml:space="preserve">Y0986</t>
  </si>
  <si>
    <t xml:space="preserve">Y0987</t>
  </si>
  <si>
    <t xml:space="preserve">Y0988</t>
  </si>
  <si>
    <t xml:space="preserve">Y0989</t>
  </si>
  <si>
    <t xml:space="preserve">Y0990</t>
  </si>
  <si>
    <t xml:space="preserve">Y0991</t>
  </si>
  <si>
    <t xml:space="preserve">Y0992</t>
  </si>
  <si>
    <t xml:space="preserve">Y0993</t>
  </si>
  <si>
    <t xml:space="preserve">Y0994</t>
  </si>
  <si>
    <t xml:space="preserve">Y0995</t>
  </si>
  <si>
    <t xml:space="preserve">Y0996</t>
  </si>
  <si>
    <t xml:space="preserve">Y0997</t>
  </si>
  <si>
    <t xml:space="preserve">Y0998</t>
  </si>
  <si>
    <t xml:space="preserve">Y0999</t>
  </si>
  <si>
    <t xml:space="preserve">Yuvoy supply: summary</t>
  </si>
  <si>
    <t xml:space="preserve">Updates automatically from the Operators tab. Rows whose name starts with "EXAMPLE" are not counted.</t>
  </si>
  <si>
    <t xml:space="preserve">Headline</t>
  </si>
  <si>
    <t xml:space="preserve">Operators in tracker</t>
  </si>
  <si>
    <t xml:space="preserve">Contacted or further</t>
  </si>
  <si>
    <t xml:space="preserve">Live on Yuvoy</t>
  </si>
  <si>
    <t xml:space="preserve">With phone / WhatsApp</t>
  </si>
  <si>
    <t xml:space="preserve">% with phone / WhatsApp</t>
  </si>
  <si>
    <t xml:space="preserve">Licences expiring ≤30 days</t>
  </si>
  <si>
    <t xml:space="preserve">Pipeline</t>
  </si>
  <si>
    <t xml:space="preserve">Operators</t>
  </si>
  <si>
    <t xml:space="preserve">Meaning</t>
  </si>
  <si>
    <t xml:space="preserve">Found, not contacted yet</t>
  </si>
  <si>
    <t xml:space="preserve">Contacted</t>
  </si>
  <si>
    <t xml:space="preserve">First message or call sent</t>
  </si>
  <si>
    <t xml:space="preserve">Met in person or on a call</t>
  </si>
  <si>
    <t xml:space="preserve">Audited</t>
  </si>
  <si>
    <t xml:space="preserve">Passed the pre-signing audit (licences, safety, quality)</t>
  </si>
  <si>
    <t xml:space="preserve">Agreed terms (15% commission, cancellation, content rights)</t>
  </si>
  <si>
    <t xml:space="preserve">Filmed</t>
  </si>
  <si>
    <t xml:space="preserve">Video shot and approved</t>
  </si>
  <si>
    <t xml:space="preserve">Live</t>
  </si>
  <si>
    <t xml:space="preserve">Listed and bookable on Yuvoy</t>
  </si>
  <si>
    <t xml:space="preserve">Rejected</t>
  </si>
  <si>
    <t xml:space="preserve">Failed audit or not a fit</t>
  </si>
  <si>
    <t xml:space="preserve">Dormant</t>
  </si>
  <si>
    <t xml:space="preserve">Not now; revisit later</t>
  </si>
  <si>
    <t xml:space="preserve">By destination</t>
  </si>
  <si>
    <t xml:space="preserve">Contacted+</t>
  </si>
  <si>
    <t xml:space="preserve">Signed / filmed / live</t>
  </si>
  <si>
    <t xml:space="preserve">Mode</t>
  </si>
  <si>
    <t xml:space="preserve">Andaman Islands</t>
  </si>
  <si>
    <t xml:space="preserve">Travel</t>
  </si>
  <si>
    <t xml:space="preserve">Neil (Shaheed Dweep)</t>
  </si>
  <si>
    <t xml:space="preserve">Port Blair (Sri Vijaya Puram)</t>
  </si>
  <si>
    <t xml:space="preserve">Leh</t>
  </si>
  <si>
    <t xml:space="preserve">Ladakh</t>
  </si>
  <si>
    <t xml:space="preserve">Spiti (Kaza)</t>
  </si>
  <si>
    <t xml:space="preserve">Manali</t>
  </si>
  <si>
    <t xml:space="preserve">Bir Billing</t>
  </si>
  <si>
    <t xml:space="preserve">Dharamshala &amp; McLeod Ganj</t>
  </si>
  <si>
    <t xml:space="preserve">Rishikesh</t>
  </si>
  <si>
    <t xml:space="preserve">Darjeeling</t>
  </si>
  <si>
    <t xml:space="preserve">Gangtok</t>
  </si>
  <si>
    <t xml:space="preserve">Shillong</t>
  </si>
  <si>
    <t xml:space="preserve">North Goa</t>
  </si>
  <si>
    <t xml:space="preserve">South Goa</t>
  </si>
  <si>
    <t xml:space="preserve">Gokarna</t>
  </si>
  <si>
    <t xml:space="preserve">Varkala</t>
  </si>
  <si>
    <t xml:space="preserve">Alleppey (Alappuzha)</t>
  </si>
  <si>
    <t xml:space="preserve">Kochi</t>
  </si>
  <si>
    <t xml:space="preserve">Puducherry</t>
  </si>
  <si>
    <t xml:space="preserve">Lakshadweep</t>
  </si>
  <si>
    <t xml:space="preserve">Coorg (Kodagu)</t>
  </si>
  <si>
    <t xml:space="preserve">Munnar</t>
  </si>
  <si>
    <t xml:space="preserve">Hampi</t>
  </si>
  <si>
    <t xml:space="preserve">Lonavala</t>
  </si>
  <si>
    <t xml:space="preserve">Jaipur</t>
  </si>
  <si>
    <t xml:space="preserve">Udaipur</t>
  </si>
  <si>
    <t xml:space="preserve">Jaisalmer</t>
  </si>
  <si>
    <t xml:space="preserve">Varanasi</t>
  </si>
  <si>
    <t xml:space="preserve">Bengaluru</t>
  </si>
  <si>
    <t xml:space="preserve">Local (city)</t>
  </si>
  <si>
    <t xml:space="preserve">Hyderabad</t>
  </si>
  <si>
    <t xml:space="preserve">Mumbai</t>
  </si>
  <si>
    <t xml:space="preserve">Delhi NCR</t>
  </si>
  <si>
    <t xml:space="preserve">Pune</t>
  </si>
  <si>
    <t xml:space="preserve">Chennai</t>
  </si>
  <si>
    <t xml:space="preserve">Kolkata</t>
  </si>
  <si>
    <t xml:space="preserve">Ahmedabad</t>
  </si>
  <si>
    <t xml:space="preserve">By category (Category 1 or 2)</t>
  </si>
  <si>
    <t xml:space="preserve">Category</t>
  </si>
  <si>
    <t xml:space="preserve">Group</t>
  </si>
  <si>
    <t xml:space="preserve">Water</t>
  </si>
  <si>
    <t xml:space="preserve">Boat tours &amp; cruises</t>
  </si>
  <si>
    <t xml:space="preserve">Water sports</t>
  </si>
  <si>
    <t xml:space="preserve">River rafting</t>
  </si>
  <si>
    <t xml:space="preserve">Fishing</t>
  </si>
  <si>
    <t xml:space="preserve">Trekking &amp; hiking</t>
  </si>
  <si>
    <t xml:space="preserve">Adventure</t>
  </si>
  <si>
    <t xml:space="preserve">Paragliding &amp; air sports</t>
  </si>
  <si>
    <t xml:space="preserve">Climbing &amp; rappelling</t>
  </si>
  <si>
    <t xml:space="preserve">Camping &amp; glamping</t>
  </si>
  <si>
    <t xml:space="preserve">Wildlife &amp; safari</t>
  </si>
  <si>
    <t xml:space="preserve">Snow sports</t>
  </si>
  <si>
    <t xml:space="preserve">Cycling &amp; motorbike tours</t>
  </si>
  <si>
    <t xml:space="preserve">Ziplines</t>
  </si>
  <si>
    <t xml:space="preserve">Horse &amp; camel riding</t>
  </si>
  <si>
    <t xml:space="preserve">Guided tours &amp; walks</t>
  </si>
  <si>
    <t xml:space="preserve">Culture &amp; heritage</t>
  </si>
  <si>
    <t xml:space="preserve">Museums &amp; heritage sites</t>
  </si>
  <si>
    <t xml:space="preserve">Festivals &amp; cultural events</t>
  </si>
  <si>
    <t xml:space="preserve">Village &amp; rural experiences</t>
  </si>
  <si>
    <t xml:space="preserve">Cooking classes</t>
  </si>
  <si>
    <t xml:space="preserve">Food &amp; drink</t>
  </si>
  <si>
    <t xml:space="preserve">Food tours</t>
  </si>
  <si>
    <t xml:space="preserve">Wineries</t>
  </si>
  <si>
    <t xml:space="preserve">Tea</t>
  </si>
  <si>
    <t xml:space="preserve">Yoga &amp; meditation</t>
  </si>
  <si>
    <t xml:space="preserve">Wellness</t>
  </si>
  <si>
    <t xml:space="preserve">Spa &amp; ayurveda</t>
  </si>
  <si>
    <t xml:space="preserve">Retreats</t>
  </si>
  <si>
    <t xml:space="preserve">Art &amp; craft workshops</t>
  </si>
  <si>
    <t xml:space="preserve">Workshops &amp; classes</t>
  </si>
  <si>
    <t xml:space="preserve">Dance classes</t>
  </si>
  <si>
    <t xml:space="preserve">Music classes</t>
  </si>
  <si>
    <t xml:space="preserve">Photography tours &amp; classes</t>
  </si>
  <si>
    <t xml:space="preserve">Sports centres &amp; clubs</t>
  </si>
  <si>
    <t xml:space="preserve">Sports &amp; fitness</t>
  </si>
  <si>
    <t xml:space="preserve">Running &amp; outdoor clubs</t>
  </si>
  <si>
    <t xml:space="preserve">Escape rooms</t>
  </si>
  <si>
    <t xml:space="preserve">Entertainment &amp; nightlife</t>
  </si>
  <si>
    <t xml:space="preserve">Live music</t>
  </si>
  <si>
    <t xml:space="preserve">Theme &amp; water parks</t>
  </si>
  <si>
    <t xml:space="preserve">Tour operators &amp; travel agents</t>
  </si>
  <si>
    <t xml:space="preserve">Travel agencies &amp; tour operators</t>
  </si>
  <si>
    <t xml:space="preserve">Type</t>
  </si>
  <si>
    <t xml:space="preserve">What it is</t>
  </si>
  <si>
    <t xml:space="preserve">Trust</t>
  </si>
  <si>
    <t xml:space="preserve">Island</t>
  </si>
  <si>
    <t xml:space="preserve">Seen or met on the ground</t>
  </si>
  <si>
    <t xml:space="preserve">Highest</t>
  </si>
  <si>
    <t xml:space="preserve">Tourism registry</t>
  </si>
  <si>
    <t xml:space="preserve">Govt / state tourism lists, water-sports permits</t>
  </si>
  <si>
    <t xml:space="preserve">High</t>
  </si>
  <si>
    <t xml:space="preserve">Pass</t>
  </si>
  <si>
    <t xml:space="preserve">PADI / SSI</t>
  </si>
  <si>
    <t xml:space="preserve">Dive-centre locator</t>
  </si>
  <si>
    <t xml:space="preserve">Conditional</t>
  </si>
  <si>
    <t xml:space="preserve">City</t>
  </si>
  <si>
    <t xml:space="preserve">ATOAI</t>
  </si>
  <si>
    <t xml:space="preserve">Adventure Tour Operators Association of India members</t>
  </si>
  <si>
    <t xml:space="preserve">Fail</t>
  </si>
  <si>
    <t xml:space="preserve">IN-LA</t>
  </si>
  <si>
    <t xml:space="preserve">Hill</t>
  </si>
  <si>
    <t xml:space="preserve">Referral</t>
  </si>
  <si>
    <t xml:space="preserve">Recommended by another operator, hotel or guest</t>
  </si>
  <si>
    <t xml:space="preserve">Medium</t>
  </si>
  <si>
    <t xml:space="preserve">Google Maps</t>
  </si>
  <si>
    <t xml:space="preserve">Found on Google Maps</t>
  </si>
  <si>
    <t xml:space="preserve">IN-HP</t>
  </si>
  <si>
    <t xml:space="preserve">Found online (own website, listings)</t>
  </si>
  <si>
    <t xml:space="preserve">Found via profile, geotag or hashtag</t>
  </si>
  <si>
    <t xml:space="preserve">Low</t>
  </si>
  <si>
    <t xml:space="preserve">Weekend</t>
  </si>
  <si>
    <t xml:space="preserve">Seen on Thrillophilia, Tripadvisor, Klook etc.</t>
  </si>
  <si>
    <t xml:space="preserve">IN-UK</t>
  </si>
  <si>
    <t xml:space="preserve">IN-WB</t>
  </si>
  <si>
    <t xml:space="preserve">IN-SK</t>
  </si>
  <si>
    <t xml:space="preserve">IN-ML</t>
  </si>
  <si>
    <t xml:space="preserve">IN-GA</t>
  </si>
  <si>
    <t xml:space="preserve">Beach</t>
  </si>
  <si>
    <t xml:space="preserve">IN-KA</t>
  </si>
  <si>
    <t xml:space="preserve">IN-KL</t>
  </si>
  <si>
    <t xml:space="preserve">Backwater</t>
  </si>
  <si>
    <t xml:space="preserve">IN-PY</t>
  </si>
  <si>
    <t xml:space="preserve">IN-LD</t>
  </si>
  <si>
    <t xml:space="preserve">Everyday</t>
  </si>
  <si>
    <t xml:space="preserve">Heritage</t>
  </si>
  <si>
    <t xml:space="preserve">IN-MH</t>
  </si>
  <si>
    <t xml:space="preserve">IN-RJ</t>
  </si>
  <si>
    <t xml:space="preserve">Desert</t>
  </si>
  <si>
    <t xml:space="preserve">IN-UP</t>
  </si>
  <si>
    <t xml:space="preserve">Pilgrimage</t>
  </si>
  <si>
    <t xml:space="preserve">IN-TG</t>
  </si>
  <si>
    <t xml:space="preserve">IN-DL</t>
  </si>
  <si>
    <t xml:space="preserve">IN-TN</t>
  </si>
  <si>
    <t xml:space="preserve">IN-GJ</t>
  </si>
  <si>
    <t xml:space="preserve">Other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</si>
</sst>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m\-yyyy"/>
    <numFmt numFmtId="166" formatCode="#,##0"/>
    <numFmt numFmtId="167" formatCode="General"/>
    <numFmt numFmtId="168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83A2F"/>
      <name val="Arial"/>
      <family val="0"/>
      <charset val="1"/>
    </font>
    <font>
      <sz val="11"/>
      <color rgb="FF595959"/>
      <name val="Arial"/>
      <family val="0"/>
      <charset val="1"/>
    </font>
    <font>
      <b val="true"/>
      <sz val="11"/>
      <color rgb="FFC8693B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83A2F"/>
        <bgColor rgb="FF003300"/>
      </patternFill>
    </fill>
    <fill>
      <patternFill patternType="solid">
        <fgColor rgb="FFF3F3F1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83A2F"/>
          <bgColor rgb="FF000000"/>
        </patternFill>
      </fill>
    </dxf>
    <dxf>
      <fill>
        <patternFill patternType="solid">
          <fgColor rgb="FFF3F3F1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>
          <bgColor rgb="FFF4CCCC"/>
        </patternFill>
      </fill>
    </dxf>
    <dxf>
      <fill>
        <patternFill>
          <bgColor rgb="FFFCE5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3F3F1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CE5CD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C8693B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83A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0"/>
  </cols>
  <sheetData>
    <row r="1" customFormat="false" ht="19.7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4" t="s">
        <v>3</v>
      </c>
    </row>
    <row r="6" customFormat="false" ht="15" hidden="false" customHeight="false" outlineLevel="0" collapsed="false">
      <c r="B6" s="4" t="s">
        <v>4</v>
      </c>
    </row>
    <row r="7" customFormat="false" ht="15" hidden="false" customHeight="false" outlineLevel="0" collapsed="false">
      <c r="B7" s="4" t="s">
        <v>5</v>
      </c>
    </row>
    <row r="8" customFormat="false" ht="15" hidden="false" customHeight="false" outlineLevel="0" collapsed="false">
      <c r="B8" s="4" t="s">
        <v>6</v>
      </c>
    </row>
    <row r="9" customFormat="false" ht="15" hidden="false" customHeight="false" outlineLevel="0" collapsed="false">
      <c r="B9" s="4" t="s">
        <v>7</v>
      </c>
    </row>
    <row r="10" customFormat="false" ht="15" hidden="false" customHeight="false" outlineLevel="0" collapsed="false">
      <c r="B10" s="4" t="s">
        <v>8</v>
      </c>
    </row>
    <row r="12" customFormat="false" ht="15" hidden="false" customHeight="false" outlineLevel="0" collapsed="false">
      <c r="B12" s="3" t="s">
        <v>9</v>
      </c>
    </row>
    <row r="13" customFormat="false" ht="15" hidden="false" customHeight="false" outlineLevel="0" collapsed="false">
      <c r="B13" s="4" t="s">
        <v>10</v>
      </c>
    </row>
    <row r="15" customFormat="false" ht="15" hidden="false" customHeight="false" outlineLevel="0" collapsed="false">
      <c r="B15" s="3" t="s">
        <v>11</v>
      </c>
    </row>
    <row r="16" customFormat="false" ht="15" hidden="false" customHeight="false" outlineLevel="0" collapsed="false">
      <c r="B16" s="4" t="s">
        <v>12</v>
      </c>
    </row>
    <row r="17" customFormat="false" ht="15" hidden="false" customHeight="false" outlineLevel="0" collapsed="false">
      <c r="B17" s="4" t="s">
        <v>13</v>
      </c>
    </row>
    <row r="18" customFormat="false" ht="15" hidden="false" customHeight="false" outlineLevel="0" collapsed="false">
      <c r="B18" s="4" t="s">
        <v>14</v>
      </c>
    </row>
    <row r="19" customFormat="false" ht="23.85" hidden="false" customHeight="false" outlineLevel="0" collapsed="false">
      <c r="B19" s="4" t="s">
        <v>15</v>
      </c>
    </row>
    <row r="21" customFormat="false" ht="15" hidden="false" customHeight="false" outlineLevel="0" collapsed="false">
      <c r="B21" s="3" t="s">
        <v>16</v>
      </c>
    </row>
    <row r="22" customFormat="false" ht="15" hidden="false" customHeight="false" outlineLevel="0" collapsed="false">
      <c r="B22" s="4" t="s">
        <v>17</v>
      </c>
    </row>
    <row r="23" customFormat="false" ht="15" hidden="false" customHeight="false" outlineLevel="0" collapsed="false">
      <c r="B23" s="4" t="s">
        <v>18</v>
      </c>
    </row>
    <row r="24" customFormat="false" ht="15" hidden="false" customHeight="false" outlineLevel="0" collapsed="false">
      <c r="B24" s="4" t="s">
        <v>19</v>
      </c>
    </row>
    <row r="26" customFormat="false" ht="15" hidden="false" customHeight="false" outlineLevel="0" collapsed="false">
      <c r="B26" s="3" t="s">
        <v>20</v>
      </c>
    </row>
    <row r="27" customFormat="false" ht="15" hidden="false" customHeight="false" outlineLevel="0" collapsed="false">
      <c r="B27" s="4" t="s">
        <v>21</v>
      </c>
    </row>
    <row r="29" customFormat="false" ht="15" hidden="false" customHeight="false" outlineLevel="0" collapsed="false">
      <c r="B29" s="5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24"/>
    <col collapsed="false" customWidth="true" hidden="false" outlineLevel="0" max="4" min="4" style="0" width="7"/>
    <col collapsed="false" customWidth="true" hidden="false" outlineLevel="0" max="5" min="5" style="0" width="26"/>
    <col collapsed="false" customWidth="true" hidden="false" outlineLevel="0" max="6" min="6" style="0" width="22"/>
    <col collapsed="false" customWidth="true" hidden="false" outlineLevel="0" max="7" min="7" style="0" width="17"/>
    <col collapsed="false" customWidth="true" hidden="false" outlineLevel="0" max="8" min="8" style="0" width="26"/>
    <col collapsed="false" customWidth="true" hidden="false" outlineLevel="0" max="9" min="9" style="0" width="24"/>
    <col collapsed="false" customWidth="true" hidden="false" outlineLevel="0" max="10" min="10" style="0" width="18"/>
    <col collapsed="false" customWidth="true" hidden="false" outlineLevel="0" max="11" min="11" style="0" width="24"/>
    <col collapsed="false" customWidth="true" hidden="false" outlineLevel="0" max="12" min="12" style="0" width="20"/>
    <col collapsed="false" customWidth="true" hidden="false" outlineLevel="0" max="13" min="13" style="0" width="15"/>
    <col collapsed="false" customWidth="true" hidden="false" outlineLevel="0" max="14" min="14" style="0" width="26"/>
    <col collapsed="false" customWidth="true" hidden="false" outlineLevel="0" max="15" min="15" style="0" width="11"/>
    <col collapsed="false" customWidth="true" hidden="false" outlineLevel="0" max="16" min="16" style="0" width="10"/>
    <col collapsed="false" customWidth="true" hidden="false" outlineLevel="0" max="17" min="17" style="0" width="12"/>
    <col collapsed="false" customWidth="true" hidden="false" outlineLevel="0" max="18" min="18" style="0" width="26"/>
    <col collapsed="false" customWidth="true" hidden="false" outlineLevel="0" max="19" min="19" style="0" width="13"/>
    <col collapsed="false" customWidth="true" hidden="false" outlineLevel="0" max="20" min="20" style="0" width="12"/>
    <col collapsed="false" customWidth="true" hidden="false" outlineLevel="0" max="21" min="21" style="0" width="18"/>
    <col collapsed="false" customWidth="true" hidden="false" outlineLevel="0" max="22" min="22" style="0" width="12"/>
    <col collapsed="false" customWidth="true" hidden="false" outlineLevel="0" max="23" min="23" style="0" width="13"/>
    <col collapsed="false" customWidth="true" hidden="false" outlineLevel="0" max="24" min="24" style="0" width="12"/>
    <col collapsed="false" customWidth="true" hidden="false" outlineLevel="0" max="25" min="25" style="0" width="40"/>
  </cols>
  <sheetData>
    <row r="1" customFormat="false" ht="30" hidden="false" customHeight="true" outlineLevel="0" collapsed="false">
      <c r="A1" s="6" t="s">
        <v>23</v>
      </c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  <c r="H1" s="6" t="s">
        <v>30</v>
      </c>
      <c r="I1" s="6" t="s">
        <v>31</v>
      </c>
      <c r="J1" s="6" t="s">
        <v>32</v>
      </c>
      <c r="K1" s="6" t="s">
        <v>33</v>
      </c>
      <c r="L1" s="6" t="s">
        <v>34</v>
      </c>
      <c r="M1" s="6" t="s">
        <v>35</v>
      </c>
      <c r="N1" s="6" t="s">
        <v>36</v>
      </c>
      <c r="O1" s="6" t="s">
        <v>37</v>
      </c>
      <c r="P1" s="6" t="s">
        <v>38</v>
      </c>
      <c r="Q1" s="6" t="s">
        <v>39</v>
      </c>
      <c r="R1" s="6" t="s">
        <v>40</v>
      </c>
      <c r="S1" s="6" t="s">
        <v>41</v>
      </c>
      <c r="T1" s="6" t="s">
        <v>42</v>
      </c>
      <c r="U1" s="6" t="s">
        <v>43</v>
      </c>
      <c r="V1" s="6" t="s">
        <v>44</v>
      </c>
      <c r="W1" s="6" t="s">
        <v>45</v>
      </c>
      <c r="X1" s="6" t="s">
        <v>46</v>
      </c>
      <c r="Y1" s="6" t="s">
        <v>47</v>
      </c>
    </row>
    <row r="2" customFormat="false" ht="15" hidden="false" customHeight="false" outlineLevel="0" collapsed="false">
      <c r="A2" s="7" t="s">
        <v>48</v>
      </c>
      <c r="B2" s="8" t="s">
        <v>49</v>
      </c>
      <c r="C2" s="8" t="s">
        <v>50</v>
      </c>
      <c r="D2" s="8" t="s">
        <v>51</v>
      </c>
      <c r="E2" s="8" t="s">
        <v>52</v>
      </c>
      <c r="F2" s="8" t="s">
        <v>53</v>
      </c>
      <c r="G2" s="8" t="s">
        <v>54</v>
      </c>
      <c r="H2" s="8" t="s">
        <v>55</v>
      </c>
      <c r="I2" s="8" t="s">
        <v>56</v>
      </c>
      <c r="J2" s="8" t="s">
        <v>57</v>
      </c>
      <c r="K2" s="8" t="s">
        <v>58</v>
      </c>
      <c r="L2" s="8"/>
      <c r="M2" s="8" t="s">
        <v>59</v>
      </c>
      <c r="N2" s="8"/>
      <c r="O2" s="8" t="s">
        <v>60</v>
      </c>
      <c r="P2" s="8" t="s">
        <v>61</v>
      </c>
      <c r="Q2" s="9" t="n">
        <v>46296</v>
      </c>
      <c r="R2" s="8" t="s">
        <v>62</v>
      </c>
      <c r="S2" s="9" t="n">
        <v>46303</v>
      </c>
      <c r="T2" s="10" t="n">
        <v>4500</v>
      </c>
      <c r="U2" s="8" t="s">
        <v>63</v>
      </c>
      <c r="V2" s="9" t="n">
        <v>46477</v>
      </c>
      <c r="W2" s="8" t="s">
        <v>64</v>
      </c>
      <c r="X2" s="8" t="s">
        <v>65</v>
      </c>
      <c r="Y2" s="8" t="s">
        <v>66</v>
      </c>
    </row>
    <row r="3" customFormat="false" ht="15" hidden="false" customHeight="false" outlineLevel="0" collapsed="false">
      <c r="A3" s="11" t="s">
        <v>67</v>
      </c>
      <c r="B3" s="12" t="s">
        <v>68</v>
      </c>
      <c r="C3" s="12" t="s">
        <v>50</v>
      </c>
      <c r="D3" s="12" t="s">
        <v>51</v>
      </c>
      <c r="E3" s="12" t="s">
        <v>52</v>
      </c>
      <c r="F3" s="12"/>
      <c r="G3" s="12"/>
      <c r="H3" s="12"/>
      <c r="I3" s="12" t="s">
        <v>69</v>
      </c>
      <c r="J3" s="12"/>
      <c r="K3" s="12"/>
      <c r="L3" s="12"/>
      <c r="M3" s="12" t="s">
        <v>59</v>
      </c>
      <c r="N3" s="12"/>
      <c r="O3" s="12" t="s">
        <v>70</v>
      </c>
      <c r="P3" s="12" t="s">
        <v>61</v>
      </c>
      <c r="Q3" s="13"/>
      <c r="R3" s="12"/>
      <c r="S3" s="13"/>
      <c r="T3" s="14"/>
      <c r="U3" s="12"/>
      <c r="V3" s="13"/>
      <c r="W3" s="12"/>
      <c r="X3" s="12" t="s">
        <v>65</v>
      </c>
      <c r="Y3" s="12" t="s">
        <v>71</v>
      </c>
    </row>
    <row r="4" customFormat="false" ht="15" hidden="false" customHeight="false" outlineLevel="0" collapsed="false">
      <c r="A4" s="11" t="s">
        <v>72</v>
      </c>
      <c r="B4" s="12" t="s">
        <v>73</v>
      </c>
      <c r="C4" s="12" t="s">
        <v>50</v>
      </c>
      <c r="D4" s="12" t="s">
        <v>51</v>
      </c>
      <c r="E4" s="12" t="s">
        <v>52</v>
      </c>
      <c r="F4" s="12"/>
      <c r="G4" s="12"/>
      <c r="H4" s="12"/>
      <c r="I4" s="12"/>
      <c r="J4" s="12"/>
      <c r="K4" s="12"/>
      <c r="L4" s="12"/>
      <c r="M4" s="12" t="s">
        <v>74</v>
      </c>
      <c r="N4" s="12" t="s">
        <v>75</v>
      </c>
      <c r="O4" s="12" t="s">
        <v>76</v>
      </c>
      <c r="P4" s="12"/>
      <c r="Q4" s="13"/>
      <c r="R4" s="12"/>
      <c r="S4" s="13"/>
      <c r="T4" s="14"/>
      <c r="U4" s="12"/>
      <c r="V4" s="13"/>
      <c r="W4" s="12"/>
      <c r="X4" s="12"/>
      <c r="Y4" s="12" t="s">
        <v>77</v>
      </c>
    </row>
    <row r="5" customFormat="false" ht="15" hidden="false" customHeight="false" outlineLevel="0" collapsed="false">
      <c r="A5" s="11" t="s">
        <v>78</v>
      </c>
      <c r="B5" s="12" t="s">
        <v>79</v>
      </c>
      <c r="C5" s="12" t="s">
        <v>50</v>
      </c>
      <c r="D5" s="12" t="s">
        <v>51</v>
      </c>
      <c r="E5" s="12" t="s">
        <v>52</v>
      </c>
      <c r="F5" s="12"/>
      <c r="G5" s="12"/>
      <c r="H5" s="12"/>
      <c r="I5" s="12"/>
      <c r="J5" s="12"/>
      <c r="K5" s="12"/>
      <c r="L5" s="12"/>
      <c r="M5" s="12" t="s">
        <v>80</v>
      </c>
      <c r="N5" s="12"/>
      <c r="O5" s="12" t="s">
        <v>76</v>
      </c>
      <c r="P5" s="12"/>
      <c r="Q5" s="13"/>
      <c r="R5" s="12"/>
      <c r="S5" s="13"/>
      <c r="T5" s="14"/>
      <c r="U5" s="12"/>
      <c r="V5" s="13"/>
      <c r="W5" s="12"/>
      <c r="X5" s="12"/>
      <c r="Y5" s="12" t="s">
        <v>81</v>
      </c>
    </row>
    <row r="6" customFormat="false" ht="15" hidden="false" customHeight="false" outlineLevel="0" collapsed="false">
      <c r="A6" s="11" t="s">
        <v>82</v>
      </c>
      <c r="B6" s="12" t="s">
        <v>83</v>
      </c>
      <c r="C6" s="12" t="s">
        <v>50</v>
      </c>
      <c r="D6" s="12" t="s">
        <v>51</v>
      </c>
      <c r="E6" s="12" t="s">
        <v>52</v>
      </c>
      <c r="F6" s="12"/>
      <c r="G6" s="12"/>
      <c r="H6" s="12"/>
      <c r="I6" s="12"/>
      <c r="J6" s="12"/>
      <c r="K6" s="12"/>
      <c r="L6" s="12"/>
      <c r="M6" s="12" t="s">
        <v>80</v>
      </c>
      <c r="N6" s="12"/>
      <c r="O6" s="12" t="s">
        <v>76</v>
      </c>
      <c r="P6" s="12"/>
      <c r="Q6" s="13"/>
      <c r="R6" s="12"/>
      <c r="S6" s="13"/>
      <c r="T6" s="14"/>
      <c r="U6" s="12"/>
      <c r="V6" s="13"/>
      <c r="W6" s="12"/>
      <c r="X6" s="12"/>
      <c r="Y6" s="12" t="s">
        <v>81</v>
      </c>
    </row>
    <row r="7" customFormat="false" ht="15" hidden="false" customHeight="false" outlineLevel="0" collapsed="false">
      <c r="A7" s="11" t="s">
        <v>84</v>
      </c>
      <c r="B7" s="12" t="s">
        <v>85</v>
      </c>
      <c r="C7" s="12" t="s">
        <v>50</v>
      </c>
      <c r="D7" s="12" t="s">
        <v>51</v>
      </c>
      <c r="E7" s="12" t="s">
        <v>52</v>
      </c>
      <c r="F7" s="12"/>
      <c r="G7" s="12"/>
      <c r="H7" s="12"/>
      <c r="I7" s="12" t="s">
        <v>86</v>
      </c>
      <c r="J7" s="12"/>
      <c r="K7" s="12"/>
      <c r="L7" s="12"/>
      <c r="M7" s="12" t="s">
        <v>80</v>
      </c>
      <c r="N7" s="12" t="s">
        <v>87</v>
      </c>
      <c r="O7" s="12" t="s">
        <v>76</v>
      </c>
      <c r="P7" s="12"/>
      <c r="Q7" s="13"/>
      <c r="R7" s="12"/>
      <c r="S7" s="13"/>
      <c r="T7" s="14"/>
      <c r="U7" s="12"/>
      <c r="V7" s="13"/>
      <c r="W7" s="12"/>
      <c r="X7" s="12"/>
      <c r="Y7" s="12" t="s">
        <v>88</v>
      </c>
    </row>
    <row r="8" customFormat="false" ht="15" hidden="false" customHeight="false" outlineLevel="0" collapsed="false">
      <c r="A8" s="11" t="s">
        <v>89</v>
      </c>
      <c r="B8" s="12" t="s">
        <v>90</v>
      </c>
      <c r="C8" s="12" t="s">
        <v>50</v>
      </c>
      <c r="D8" s="12" t="s">
        <v>51</v>
      </c>
      <c r="E8" s="12" t="s">
        <v>52</v>
      </c>
      <c r="F8" s="12"/>
      <c r="G8" s="12"/>
      <c r="H8" s="12"/>
      <c r="I8" s="12" t="s">
        <v>91</v>
      </c>
      <c r="J8" s="12"/>
      <c r="K8" s="12"/>
      <c r="L8" s="12"/>
      <c r="M8" s="12" t="s">
        <v>80</v>
      </c>
      <c r="N8" s="12" t="s">
        <v>92</v>
      </c>
      <c r="O8" s="12" t="s">
        <v>76</v>
      </c>
      <c r="P8" s="12"/>
      <c r="Q8" s="13"/>
      <c r="R8" s="12"/>
      <c r="S8" s="13"/>
      <c r="T8" s="14"/>
      <c r="U8" s="12"/>
      <c r="V8" s="13"/>
      <c r="W8" s="12"/>
      <c r="X8" s="12"/>
      <c r="Y8" s="12" t="s">
        <v>88</v>
      </c>
    </row>
    <row r="9" customFormat="false" ht="15" hidden="false" customHeight="false" outlineLevel="0" collapsed="false">
      <c r="A9" s="11" t="s">
        <v>93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3"/>
      <c r="R9" s="12"/>
      <c r="S9" s="13"/>
      <c r="T9" s="14"/>
      <c r="U9" s="12"/>
      <c r="V9" s="13"/>
      <c r="W9" s="12"/>
      <c r="X9" s="12"/>
      <c r="Y9" s="12"/>
    </row>
    <row r="10" customFormat="false" ht="15" hidden="false" customHeight="false" outlineLevel="0" collapsed="false">
      <c r="A10" s="11" t="s">
        <v>94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3"/>
      <c r="R10" s="12"/>
      <c r="S10" s="13"/>
      <c r="T10" s="14"/>
      <c r="U10" s="12"/>
      <c r="V10" s="13"/>
      <c r="W10" s="12"/>
      <c r="X10" s="12"/>
      <c r="Y10" s="12"/>
    </row>
    <row r="11" customFormat="false" ht="15" hidden="false" customHeight="false" outlineLevel="0" collapsed="false">
      <c r="A11" s="11" t="s">
        <v>95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3"/>
      <c r="R11" s="12"/>
      <c r="S11" s="13"/>
      <c r="T11" s="14"/>
      <c r="U11" s="12"/>
      <c r="V11" s="13"/>
      <c r="W11" s="12"/>
      <c r="X11" s="12"/>
      <c r="Y11" s="12"/>
    </row>
    <row r="12" customFormat="false" ht="15" hidden="false" customHeight="false" outlineLevel="0" collapsed="false">
      <c r="A12" s="11" t="s">
        <v>96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3"/>
      <c r="R12" s="12"/>
      <c r="S12" s="13"/>
      <c r="T12" s="14"/>
      <c r="U12" s="12"/>
      <c r="V12" s="13"/>
      <c r="W12" s="12"/>
      <c r="X12" s="12"/>
      <c r="Y12" s="12"/>
    </row>
    <row r="13" customFormat="false" ht="15" hidden="false" customHeight="false" outlineLevel="0" collapsed="false">
      <c r="A13" s="11" t="s">
        <v>97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3"/>
      <c r="R13" s="12"/>
      <c r="S13" s="13"/>
      <c r="T13" s="14"/>
      <c r="U13" s="12"/>
      <c r="V13" s="13"/>
      <c r="W13" s="12"/>
      <c r="X13" s="12"/>
      <c r="Y13" s="12"/>
    </row>
    <row r="14" customFormat="false" ht="15" hidden="false" customHeight="false" outlineLevel="0" collapsed="false">
      <c r="A14" s="11" t="s">
        <v>98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3"/>
      <c r="R14" s="12"/>
      <c r="S14" s="13"/>
      <c r="T14" s="14"/>
      <c r="U14" s="12"/>
      <c r="V14" s="13"/>
      <c r="W14" s="12"/>
      <c r="X14" s="12"/>
      <c r="Y14" s="12"/>
    </row>
    <row r="15" customFormat="false" ht="15" hidden="false" customHeight="false" outlineLevel="0" collapsed="false">
      <c r="A15" s="11" t="s">
        <v>99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3"/>
      <c r="R15" s="12"/>
      <c r="S15" s="13"/>
      <c r="T15" s="14"/>
      <c r="U15" s="12"/>
      <c r="V15" s="13"/>
      <c r="W15" s="12"/>
      <c r="X15" s="12"/>
      <c r="Y15" s="12"/>
    </row>
    <row r="16" customFormat="false" ht="15" hidden="false" customHeight="false" outlineLevel="0" collapsed="false">
      <c r="A16" s="11" t="s">
        <v>100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3"/>
      <c r="R16" s="12"/>
      <c r="S16" s="13"/>
      <c r="T16" s="14"/>
      <c r="U16" s="12"/>
      <c r="V16" s="13"/>
      <c r="W16" s="12"/>
      <c r="X16" s="12"/>
      <c r="Y16" s="12"/>
    </row>
    <row r="17" customFormat="false" ht="15" hidden="false" customHeight="false" outlineLevel="0" collapsed="false">
      <c r="A17" s="11" t="s">
        <v>101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3"/>
      <c r="R17" s="12"/>
      <c r="S17" s="13"/>
      <c r="T17" s="14"/>
      <c r="U17" s="12"/>
      <c r="V17" s="13"/>
      <c r="W17" s="12"/>
      <c r="X17" s="12"/>
      <c r="Y17" s="12"/>
    </row>
    <row r="18" customFormat="false" ht="15" hidden="false" customHeight="false" outlineLevel="0" collapsed="false">
      <c r="A18" s="11" t="s">
        <v>102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3"/>
      <c r="R18" s="12"/>
      <c r="S18" s="13"/>
      <c r="T18" s="14"/>
      <c r="U18" s="12"/>
      <c r="V18" s="13"/>
      <c r="W18" s="12"/>
      <c r="X18" s="12"/>
      <c r="Y18" s="12"/>
    </row>
    <row r="19" customFormat="false" ht="15" hidden="false" customHeight="false" outlineLevel="0" collapsed="false">
      <c r="A19" s="11" t="s">
        <v>103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3"/>
      <c r="R19" s="12"/>
      <c r="S19" s="13"/>
      <c r="T19" s="14"/>
      <c r="U19" s="12"/>
      <c r="V19" s="13"/>
      <c r="W19" s="12"/>
      <c r="X19" s="12"/>
      <c r="Y19" s="12"/>
    </row>
    <row r="20" customFormat="false" ht="15" hidden="false" customHeight="false" outlineLevel="0" collapsed="false">
      <c r="A20" s="11" t="s">
        <v>104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3"/>
      <c r="R20" s="12"/>
      <c r="S20" s="13"/>
      <c r="T20" s="14"/>
      <c r="U20" s="12"/>
      <c r="V20" s="13"/>
      <c r="W20" s="12"/>
      <c r="X20" s="12"/>
      <c r="Y20" s="12"/>
    </row>
    <row r="21" customFormat="false" ht="15" hidden="false" customHeight="false" outlineLevel="0" collapsed="false">
      <c r="A21" s="11" t="s">
        <v>105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3"/>
      <c r="R21" s="12"/>
      <c r="S21" s="13"/>
      <c r="T21" s="14"/>
      <c r="U21" s="12"/>
      <c r="V21" s="13"/>
      <c r="W21" s="12"/>
      <c r="X21" s="12"/>
      <c r="Y21" s="12"/>
    </row>
    <row r="22" customFormat="false" ht="15" hidden="false" customHeight="false" outlineLevel="0" collapsed="false">
      <c r="A22" s="11" t="s">
        <v>106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3"/>
      <c r="R22" s="12"/>
      <c r="S22" s="13"/>
      <c r="T22" s="14"/>
      <c r="U22" s="12"/>
      <c r="V22" s="13"/>
      <c r="W22" s="12"/>
      <c r="X22" s="12"/>
      <c r="Y22" s="12"/>
    </row>
    <row r="23" customFormat="false" ht="15" hidden="false" customHeight="false" outlineLevel="0" collapsed="false">
      <c r="A23" s="11" t="s">
        <v>107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3"/>
      <c r="R23" s="12"/>
      <c r="S23" s="13"/>
      <c r="T23" s="14"/>
      <c r="U23" s="12"/>
      <c r="V23" s="13"/>
      <c r="W23" s="12"/>
      <c r="X23" s="12"/>
      <c r="Y23" s="12"/>
    </row>
    <row r="24" customFormat="false" ht="15" hidden="false" customHeight="false" outlineLevel="0" collapsed="false">
      <c r="A24" s="11" t="s">
        <v>108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3"/>
      <c r="R24" s="12"/>
      <c r="S24" s="13"/>
      <c r="T24" s="14"/>
      <c r="U24" s="12"/>
      <c r="V24" s="13"/>
      <c r="W24" s="12"/>
      <c r="X24" s="12"/>
      <c r="Y24" s="12"/>
    </row>
    <row r="25" customFormat="false" ht="15" hidden="false" customHeight="false" outlineLevel="0" collapsed="false">
      <c r="A25" s="11" t="s">
        <v>109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3"/>
      <c r="R25" s="12"/>
      <c r="S25" s="13"/>
      <c r="T25" s="14"/>
      <c r="U25" s="12"/>
      <c r="V25" s="13"/>
      <c r="W25" s="12"/>
      <c r="X25" s="12"/>
      <c r="Y25" s="12"/>
    </row>
    <row r="26" customFormat="false" ht="15" hidden="false" customHeight="false" outlineLevel="0" collapsed="false">
      <c r="A26" s="11" t="s">
        <v>110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3"/>
      <c r="R26" s="12"/>
      <c r="S26" s="13"/>
      <c r="T26" s="14"/>
      <c r="U26" s="12"/>
      <c r="V26" s="13"/>
      <c r="W26" s="12"/>
      <c r="X26" s="12"/>
      <c r="Y26" s="12"/>
    </row>
    <row r="27" customFormat="false" ht="15" hidden="false" customHeight="false" outlineLevel="0" collapsed="false">
      <c r="A27" s="11" t="s">
        <v>111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3"/>
      <c r="R27" s="12"/>
      <c r="S27" s="13"/>
      <c r="T27" s="14"/>
      <c r="U27" s="12"/>
      <c r="V27" s="13"/>
      <c r="W27" s="12"/>
      <c r="X27" s="12"/>
      <c r="Y27" s="12"/>
    </row>
    <row r="28" customFormat="false" ht="15" hidden="false" customHeight="false" outlineLevel="0" collapsed="false">
      <c r="A28" s="11" t="s">
        <v>112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3"/>
      <c r="R28" s="12"/>
      <c r="S28" s="13"/>
      <c r="T28" s="14"/>
      <c r="U28" s="12"/>
      <c r="V28" s="13"/>
      <c r="W28" s="12"/>
      <c r="X28" s="12"/>
      <c r="Y28" s="12"/>
    </row>
    <row r="29" customFormat="false" ht="15" hidden="false" customHeight="false" outlineLevel="0" collapsed="false">
      <c r="A29" s="11" t="s">
        <v>113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3"/>
      <c r="R29" s="12"/>
      <c r="S29" s="13"/>
      <c r="T29" s="14"/>
      <c r="U29" s="12"/>
      <c r="V29" s="13"/>
      <c r="W29" s="12"/>
      <c r="X29" s="12"/>
      <c r="Y29" s="12"/>
    </row>
    <row r="30" customFormat="false" ht="15" hidden="false" customHeight="false" outlineLevel="0" collapsed="false">
      <c r="A30" s="11" t="s">
        <v>114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3"/>
      <c r="R30" s="12"/>
      <c r="S30" s="13"/>
      <c r="T30" s="14"/>
      <c r="U30" s="12"/>
      <c r="V30" s="13"/>
      <c r="W30" s="12"/>
      <c r="X30" s="12"/>
      <c r="Y30" s="12"/>
    </row>
    <row r="31" customFormat="false" ht="15" hidden="false" customHeight="false" outlineLevel="0" collapsed="false">
      <c r="A31" s="11" t="s">
        <v>115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3"/>
      <c r="R31" s="12"/>
      <c r="S31" s="13"/>
      <c r="T31" s="14"/>
      <c r="U31" s="12"/>
      <c r="V31" s="13"/>
      <c r="W31" s="12"/>
      <c r="X31" s="12"/>
      <c r="Y31" s="12"/>
    </row>
    <row r="32" customFormat="false" ht="15" hidden="false" customHeight="false" outlineLevel="0" collapsed="false">
      <c r="A32" s="11" t="s">
        <v>116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3"/>
      <c r="R32" s="12"/>
      <c r="S32" s="13"/>
      <c r="T32" s="14"/>
      <c r="U32" s="12"/>
      <c r="V32" s="13"/>
      <c r="W32" s="12"/>
      <c r="X32" s="12"/>
      <c r="Y32" s="12"/>
    </row>
    <row r="33" customFormat="false" ht="15" hidden="false" customHeight="false" outlineLevel="0" collapsed="false">
      <c r="A33" s="11" t="s">
        <v>117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3"/>
      <c r="R33" s="12"/>
      <c r="S33" s="13"/>
      <c r="T33" s="14"/>
      <c r="U33" s="12"/>
      <c r="V33" s="13"/>
      <c r="W33" s="12"/>
      <c r="X33" s="12"/>
      <c r="Y33" s="12"/>
    </row>
    <row r="34" customFormat="false" ht="15" hidden="false" customHeight="false" outlineLevel="0" collapsed="false">
      <c r="A34" s="11" t="s">
        <v>118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3"/>
      <c r="R34" s="12"/>
      <c r="S34" s="13"/>
      <c r="T34" s="14"/>
      <c r="U34" s="12"/>
      <c r="V34" s="13"/>
      <c r="W34" s="12"/>
      <c r="X34" s="12"/>
      <c r="Y34" s="12"/>
    </row>
    <row r="35" customFormat="false" ht="15" hidden="false" customHeight="false" outlineLevel="0" collapsed="false">
      <c r="A35" s="11" t="s">
        <v>119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3"/>
      <c r="R35" s="12"/>
      <c r="S35" s="13"/>
      <c r="T35" s="14"/>
      <c r="U35" s="12"/>
      <c r="V35" s="13"/>
      <c r="W35" s="12"/>
      <c r="X35" s="12"/>
      <c r="Y35" s="12"/>
    </row>
    <row r="36" customFormat="false" ht="15" hidden="false" customHeight="false" outlineLevel="0" collapsed="false">
      <c r="A36" s="11" t="s">
        <v>120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3"/>
      <c r="R36" s="12"/>
      <c r="S36" s="13"/>
      <c r="T36" s="14"/>
      <c r="U36" s="12"/>
      <c r="V36" s="13"/>
      <c r="W36" s="12"/>
      <c r="X36" s="12"/>
      <c r="Y36" s="12"/>
    </row>
    <row r="37" customFormat="false" ht="15" hidden="false" customHeight="false" outlineLevel="0" collapsed="false">
      <c r="A37" s="11" t="s">
        <v>121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3"/>
      <c r="R37" s="12"/>
      <c r="S37" s="13"/>
      <c r="T37" s="14"/>
      <c r="U37" s="12"/>
      <c r="V37" s="13"/>
      <c r="W37" s="12"/>
      <c r="X37" s="12"/>
      <c r="Y37" s="12"/>
    </row>
    <row r="38" customFormat="false" ht="15" hidden="false" customHeight="false" outlineLevel="0" collapsed="false">
      <c r="A38" s="11" t="s">
        <v>122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3"/>
      <c r="R38" s="12"/>
      <c r="S38" s="13"/>
      <c r="T38" s="14"/>
      <c r="U38" s="12"/>
      <c r="V38" s="13"/>
      <c r="W38" s="12"/>
      <c r="X38" s="12"/>
      <c r="Y38" s="12"/>
    </row>
    <row r="39" customFormat="false" ht="15" hidden="false" customHeight="false" outlineLevel="0" collapsed="false">
      <c r="A39" s="11" t="s">
        <v>123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3"/>
      <c r="R39" s="12"/>
      <c r="S39" s="13"/>
      <c r="T39" s="14"/>
      <c r="U39" s="12"/>
      <c r="V39" s="13"/>
      <c r="W39" s="12"/>
      <c r="X39" s="12"/>
      <c r="Y39" s="12"/>
    </row>
    <row r="40" customFormat="false" ht="15" hidden="false" customHeight="false" outlineLevel="0" collapsed="false">
      <c r="A40" s="11" t="s">
        <v>124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3"/>
      <c r="R40" s="12"/>
      <c r="S40" s="13"/>
      <c r="T40" s="14"/>
      <c r="U40" s="12"/>
      <c r="V40" s="13"/>
      <c r="W40" s="12"/>
      <c r="X40" s="12"/>
      <c r="Y40" s="12"/>
    </row>
    <row r="41" customFormat="false" ht="15" hidden="false" customHeight="false" outlineLevel="0" collapsed="false">
      <c r="A41" s="11" t="s">
        <v>125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3"/>
      <c r="R41" s="12"/>
      <c r="S41" s="13"/>
      <c r="T41" s="14"/>
      <c r="U41" s="12"/>
      <c r="V41" s="13"/>
      <c r="W41" s="12"/>
      <c r="X41" s="12"/>
      <c r="Y41" s="12"/>
    </row>
    <row r="42" customFormat="false" ht="15" hidden="false" customHeight="false" outlineLevel="0" collapsed="false">
      <c r="A42" s="11" t="s">
        <v>126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3"/>
      <c r="R42" s="12"/>
      <c r="S42" s="13"/>
      <c r="T42" s="14"/>
      <c r="U42" s="12"/>
      <c r="V42" s="13"/>
      <c r="W42" s="12"/>
      <c r="X42" s="12"/>
      <c r="Y42" s="12"/>
    </row>
    <row r="43" customFormat="false" ht="15" hidden="false" customHeight="false" outlineLevel="0" collapsed="false">
      <c r="A43" s="11" t="s">
        <v>127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3"/>
      <c r="R43" s="12"/>
      <c r="S43" s="13"/>
      <c r="T43" s="14"/>
      <c r="U43" s="12"/>
      <c r="V43" s="13"/>
      <c r="W43" s="12"/>
      <c r="X43" s="12"/>
      <c r="Y43" s="12"/>
    </row>
    <row r="44" customFormat="false" ht="15" hidden="false" customHeight="false" outlineLevel="0" collapsed="false">
      <c r="A44" s="11" t="s">
        <v>128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3"/>
      <c r="R44" s="12"/>
      <c r="S44" s="13"/>
      <c r="T44" s="14"/>
      <c r="U44" s="12"/>
      <c r="V44" s="13"/>
      <c r="W44" s="12"/>
      <c r="X44" s="12"/>
      <c r="Y44" s="12"/>
    </row>
    <row r="45" customFormat="false" ht="15" hidden="false" customHeight="false" outlineLevel="0" collapsed="false">
      <c r="A45" s="11" t="s">
        <v>129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3"/>
      <c r="R45" s="12"/>
      <c r="S45" s="13"/>
      <c r="T45" s="14"/>
      <c r="U45" s="12"/>
      <c r="V45" s="13"/>
      <c r="W45" s="12"/>
      <c r="X45" s="12"/>
      <c r="Y45" s="12"/>
    </row>
    <row r="46" customFormat="false" ht="15" hidden="false" customHeight="false" outlineLevel="0" collapsed="false">
      <c r="A46" s="11" t="s">
        <v>130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3"/>
      <c r="R46" s="12"/>
      <c r="S46" s="13"/>
      <c r="T46" s="14"/>
      <c r="U46" s="12"/>
      <c r="V46" s="13"/>
      <c r="W46" s="12"/>
      <c r="X46" s="12"/>
      <c r="Y46" s="12"/>
    </row>
    <row r="47" customFormat="false" ht="15" hidden="false" customHeight="false" outlineLevel="0" collapsed="false">
      <c r="A47" s="11" t="s">
        <v>131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3"/>
      <c r="R47" s="12"/>
      <c r="S47" s="13"/>
      <c r="T47" s="14"/>
      <c r="U47" s="12"/>
      <c r="V47" s="13"/>
      <c r="W47" s="12"/>
      <c r="X47" s="12"/>
      <c r="Y47" s="12"/>
    </row>
    <row r="48" customFormat="false" ht="15" hidden="false" customHeight="false" outlineLevel="0" collapsed="false">
      <c r="A48" s="11" t="s">
        <v>132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3"/>
      <c r="R48" s="12"/>
      <c r="S48" s="13"/>
      <c r="T48" s="14"/>
      <c r="U48" s="12"/>
      <c r="V48" s="13"/>
      <c r="W48" s="12"/>
      <c r="X48" s="12"/>
      <c r="Y48" s="12"/>
    </row>
    <row r="49" customFormat="false" ht="15" hidden="false" customHeight="false" outlineLevel="0" collapsed="false">
      <c r="A49" s="11" t="s">
        <v>133</v>
      </c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3"/>
      <c r="R49" s="12"/>
      <c r="S49" s="13"/>
      <c r="T49" s="14"/>
      <c r="U49" s="12"/>
      <c r="V49" s="13"/>
      <c r="W49" s="12"/>
      <c r="X49" s="12"/>
      <c r="Y49" s="12"/>
    </row>
    <row r="50" customFormat="false" ht="15" hidden="false" customHeight="false" outlineLevel="0" collapsed="false">
      <c r="A50" s="11" t="s">
        <v>134</v>
      </c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3"/>
      <c r="R50" s="12"/>
      <c r="S50" s="13"/>
      <c r="T50" s="14"/>
      <c r="U50" s="12"/>
      <c r="V50" s="13"/>
      <c r="W50" s="12"/>
      <c r="X50" s="12"/>
      <c r="Y50" s="12"/>
    </row>
    <row r="51" customFormat="false" ht="15" hidden="false" customHeight="false" outlineLevel="0" collapsed="false">
      <c r="A51" s="11" t="s">
        <v>135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3"/>
      <c r="R51" s="12"/>
      <c r="S51" s="13"/>
      <c r="T51" s="14"/>
      <c r="U51" s="12"/>
      <c r="V51" s="13"/>
      <c r="W51" s="12"/>
      <c r="X51" s="12"/>
      <c r="Y51" s="12"/>
    </row>
    <row r="52" customFormat="false" ht="15" hidden="false" customHeight="false" outlineLevel="0" collapsed="false">
      <c r="A52" s="11" t="s">
        <v>136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3"/>
      <c r="R52" s="12"/>
      <c r="S52" s="13"/>
      <c r="T52" s="14"/>
      <c r="U52" s="12"/>
      <c r="V52" s="13"/>
      <c r="W52" s="12"/>
      <c r="X52" s="12"/>
      <c r="Y52" s="12"/>
    </row>
    <row r="53" customFormat="false" ht="15" hidden="false" customHeight="false" outlineLevel="0" collapsed="false">
      <c r="A53" s="11" t="s">
        <v>137</v>
      </c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3"/>
      <c r="R53" s="12"/>
      <c r="S53" s="13"/>
      <c r="T53" s="14"/>
      <c r="U53" s="12"/>
      <c r="V53" s="13"/>
      <c r="W53" s="12"/>
      <c r="X53" s="12"/>
      <c r="Y53" s="12"/>
    </row>
    <row r="54" customFormat="false" ht="15" hidden="false" customHeight="false" outlineLevel="0" collapsed="false">
      <c r="A54" s="11" t="s">
        <v>138</v>
      </c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3"/>
      <c r="R54" s="12"/>
      <c r="S54" s="13"/>
      <c r="T54" s="14"/>
      <c r="U54" s="12"/>
      <c r="V54" s="13"/>
      <c r="W54" s="12"/>
      <c r="X54" s="12"/>
      <c r="Y54" s="12"/>
    </row>
    <row r="55" customFormat="false" ht="15" hidden="false" customHeight="false" outlineLevel="0" collapsed="false">
      <c r="A55" s="11" t="s">
        <v>139</v>
      </c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3"/>
      <c r="R55" s="12"/>
      <c r="S55" s="13"/>
      <c r="T55" s="14"/>
      <c r="U55" s="12"/>
      <c r="V55" s="13"/>
      <c r="W55" s="12"/>
      <c r="X55" s="12"/>
      <c r="Y55" s="12"/>
    </row>
    <row r="56" customFormat="false" ht="15" hidden="false" customHeight="false" outlineLevel="0" collapsed="false">
      <c r="A56" s="11" t="s">
        <v>140</v>
      </c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3"/>
      <c r="R56" s="12"/>
      <c r="S56" s="13"/>
      <c r="T56" s="14"/>
      <c r="U56" s="12"/>
      <c r="V56" s="13"/>
      <c r="W56" s="12"/>
      <c r="X56" s="12"/>
      <c r="Y56" s="12"/>
    </row>
    <row r="57" customFormat="false" ht="15" hidden="false" customHeight="false" outlineLevel="0" collapsed="false">
      <c r="A57" s="11" t="s">
        <v>141</v>
      </c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3"/>
      <c r="R57" s="12"/>
      <c r="S57" s="13"/>
      <c r="T57" s="14"/>
      <c r="U57" s="12"/>
      <c r="V57" s="13"/>
      <c r="W57" s="12"/>
      <c r="X57" s="12"/>
      <c r="Y57" s="12"/>
    </row>
    <row r="58" customFormat="false" ht="15" hidden="false" customHeight="false" outlineLevel="0" collapsed="false">
      <c r="A58" s="11" t="s">
        <v>142</v>
      </c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3"/>
      <c r="R58" s="12"/>
      <c r="S58" s="13"/>
      <c r="T58" s="14"/>
      <c r="U58" s="12"/>
      <c r="V58" s="13"/>
      <c r="W58" s="12"/>
      <c r="X58" s="12"/>
      <c r="Y58" s="12"/>
    </row>
    <row r="59" customFormat="false" ht="15" hidden="false" customHeight="false" outlineLevel="0" collapsed="false">
      <c r="A59" s="11" t="s">
        <v>143</v>
      </c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3"/>
      <c r="R59" s="12"/>
      <c r="S59" s="13"/>
      <c r="T59" s="14"/>
      <c r="U59" s="12"/>
      <c r="V59" s="13"/>
      <c r="W59" s="12"/>
      <c r="X59" s="12"/>
      <c r="Y59" s="12"/>
    </row>
    <row r="60" customFormat="false" ht="15" hidden="false" customHeight="false" outlineLevel="0" collapsed="false">
      <c r="A60" s="11" t="s">
        <v>144</v>
      </c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3"/>
      <c r="R60" s="12"/>
      <c r="S60" s="13"/>
      <c r="T60" s="14"/>
      <c r="U60" s="12"/>
      <c r="V60" s="13"/>
      <c r="W60" s="12"/>
      <c r="X60" s="12"/>
      <c r="Y60" s="12"/>
    </row>
    <row r="61" customFormat="false" ht="15" hidden="false" customHeight="false" outlineLevel="0" collapsed="false">
      <c r="A61" s="11" t="s">
        <v>145</v>
      </c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3"/>
      <c r="R61" s="12"/>
      <c r="S61" s="13"/>
      <c r="T61" s="14"/>
      <c r="U61" s="12"/>
      <c r="V61" s="13"/>
      <c r="W61" s="12"/>
      <c r="X61" s="12"/>
      <c r="Y61" s="12"/>
    </row>
    <row r="62" customFormat="false" ht="15" hidden="false" customHeight="false" outlineLevel="0" collapsed="false">
      <c r="A62" s="11" t="s">
        <v>146</v>
      </c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3"/>
      <c r="R62" s="12"/>
      <c r="S62" s="13"/>
      <c r="T62" s="14"/>
      <c r="U62" s="12"/>
      <c r="V62" s="13"/>
      <c r="W62" s="12"/>
      <c r="X62" s="12"/>
      <c r="Y62" s="12"/>
    </row>
    <row r="63" customFormat="false" ht="15" hidden="false" customHeight="false" outlineLevel="0" collapsed="false">
      <c r="A63" s="11" t="s">
        <v>147</v>
      </c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3"/>
      <c r="R63" s="12"/>
      <c r="S63" s="13"/>
      <c r="T63" s="14"/>
      <c r="U63" s="12"/>
      <c r="V63" s="13"/>
      <c r="W63" s="12"/>
      <c r="X63" s="12"/>
      <c r="Y63" s="12"/>
    </row>
    <row r="64" customFormat="false" ht="15" hidden="false" customHeight="false" outlineLevel="0" collapsed="false">
      <c r="A64" s="11" t="s">
        <v>148</v>
      </c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3"/>
      <c r="R64" s="12"/>
      <c r="S64" s="13"/>
      <c r="T64" s="14"/>
      <c r="U64" s="12"/>
      <c r="V64" s="13"/>
      <c r="W64" s="12"/>
      <c r="X64" s="12"/>
      <c r="Y64" s="12"/>
    </row>
    <row r="65" customFormat="false" ht="15" hidden="false" customHeight="false" outlineLevel="0" collapsed="false">
      <c r="A65" s="11" t="s">
        <v>149</v>
      </c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3"/>
      <c r="R65" s="12"/>
      <c r="S65" s="13"/>
      <c r="T65" s="14"/>
      <c r="U65" s="12"/>
      <c r="V65" s="13"/>
      <c r="W65" s="12"/>
      <c r="X65" s="12"/>
      <c r="Y65" s="12"/>
    </row>
    <row r="66" customFormat="false" ht="15" hidden="false" customHeight="false" outlineLevel="0" collapsed="false">
      <c r="A66" s="11" t="s">
        <v>150</v>
      </c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3"/>
      <c r="R66" s="12"/>
      <c r="S66" s="13"/>
      <c r="T66" s="14"/>
      <c r="U66" s="12"/>
      <c r="V66" s="13"/>
      <c r="W66" s="12"/>
      <c r="X66" s="12"/>
      <c r="Y66" s="12"/>
    </row>
    <row r="67" customFormat="false" ht="15" hidden="false" customHeight="false" outlineLevel="0" collapsed="false">
      <c r="A67" s="11" t="s">
        <v>151</v>
      </c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3"/>
      <c r="R67" s="12"/>
      <c r="S67" s="13"/>
      <c r="T67" s="14"/>
      <c r="U67" s="12"/>
      <c r="V67" s="13"/>
      <c r="W67" s="12"/>
      <c r="X67" s="12"/>
      <c r="Y67" s="12"/>
    </row>
    <row r="68" customFormat="false" ht="15" hidden="false" customHeight="false" outlineLevel="0" collapsed="false">
      <c r="A68" s="11" t="s">
        <v>152</v>
      </c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3"/>
      <c r="R68" s="12"/>
      <c r="S68" s="13"/>
      <c r="T68" s="14"/>
      <c r="U68" s="12"/>
      <c r="V68" s="13"/>
      <c r="W68" s="12"/>
      <c r="X68" s="12"/>
      <c r="Y68" s="12"/>
    </row>
    <row r="69" customFormat="false" ht="15" hidden="false" customHeight="false" outlineLevel="0" collapsed="false">
      <c r="A69" s="11" t="s">
        <v>153</v>
      </c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3"/>
      <c r="R69" s="12"/>
      <c r="S69" s="13"/>
      <c r="T69" s="14"/>
      <c r="U69" s="12"/>
      <c r="V69" s="13"/>
      <c r="W69" s="12"/>
      <c r="X69" s="12"/>
      <c r="Y69" s="12"/>
    </row>
    <row r="70" customFormat="false" ht="15" hidden="false" customHeight="false" outlineLevel="0" collapsed="false">
      <c r="A70" s="11" t="s">
        <v>154</v>
      </c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3"/>
      <c r="R70" s="12"/>
      <c r="S70" s="13"/>
      <c r="T70" s="14"/>
      <c r="U70" s="12"/>
      <c r="V70" s="13"/>
      <c r="W70" s="12"/>
      <c r="X70" s="12"/>
      <c r="Y70" s="12"/>
    </row>
    <row r="71" customFormat="false" ht="15" hidden="false" customHeight="false" outlineLevel="0" collapsed="false">
      <c r="A71" s="11" t="s">
        <v>155</v>
      </c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3"/>
      <c r="R71" s="12"/>
      <c r="S71" s="13"/>
      <c r="T71" s="14"/>
      <c r="U71" s="12"/>
      <c r="V71" s="13"/>
      <c r="W71" s="12"/>
      <c r="X71" s="12"/>
      <c r="Y71" s="12"/>
    </row>
    <row r="72" customFormat="false" ht="15" hidden="false" customHeight="false" outlineLevel="0" collapsed="false">
      <c r="A72" s="11" t="s">
        <v>156</v>
      </c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3"/>
      <c r="R72" s="12"/>
      <c r="S72" s="13"/>
      <c r="T72" s="14"/>
      <c r="U72" s="12"/>
      <c r="V72" s="13"/>
      <c r="W72" s="12"/>
      <c r="X72" s="12"/>
      <c r="Y72" s="12"/>
    </row>
    <row r="73" customFormat="false" ht="15" hidden="false" customHeight="false" outlineLevel="0" collapsed="false">
      <c r="A73" s="11" t="s">
        <v>157</v>
      </c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3"/>
      <c r="R73" s="12"/>
      <c r="S73" s="13"/>
      <c r="T73" s="14"/>
      <c r="U73" s="12"/>
      <c r="V73" s="13"/>
      <c r="W73" s="12"/>
      <c r="X73" s="12"/>
      <c r="Y73" s="12"/>
    </row>
    <row r="74" customFormat="false" ht="15" hidden="false" customHeight="false" outlineLevel="0" collapsed="false">
      <c r="A74" s="11" t="s">
        <v>158</v>
      </c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3"/>
      <c r="R74" s="12"/>
      <c r="S74" s="13"/>
      <c r="T74" s="14"/>
      <c r="U74" s="12"/>
      <c r="V74" s="13"/>
      <c r="W74" s="12"/>
      <c r="X74" s="12"/>
      <c r="Y74" s="12"/>
    </row>
    <row r="75" customFormat="false" ht="15" hidden="false" customHeight="false" outlineLevel="0" collapsed="false">
      <c r="A75" s="11" t="s">
        <v>159</v>
      </c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3"/>
      <c r="R75" s="12"/>
      <c r="S75" s="13"/>
      <c r="T75" s="14"/>
      <c r="U75" s="12"/>
      <c r="V75" s="13"/>
      <c r="W75" s="12"/>
      <c r="X75" s="12"/>
      <c r="Y75" s="12"/>
    </row>
    <row r="76" customFormat="false" ht="15" hidden="false" customHeight="false" outlineLevel="0" collapsed="false">
      <c r="A76" s="11" t="s">
        <v>160</v>
      </c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3"/>
      <c r="R76" s="12"/>
      <c r="S76" s="13"/>
      <c r="T76" s="14"/>
      <c r="U76" s="12"/>
      <c r="V76" s="13"/>
      <c r="W76" s="12"/>
      <c r="X76" s="12"/>
      <c r="Y76" s="12"/>
    </row>
    <row r="77" customFormat="false" ht="15" hidden="false" customHeight="false" outlineLevel="0" collapsed="false">
      <c r="A77" s="11" t="s">
        <v>161</v>
      </c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3"/>
      <c r="R77" s="12"/>
      <c r="S77" s="13"/>
      <c r="T77" s="14"/>
      <c r="U77" s="12"/>
      <c r="V77" s="13"/>
      <c r="W77" s="12"/>
      <c r="X77" s="12"/>
      <c r="Y77" s="12"/>
    </row>
    <row r="78" customFormat="false" ht="15" hidden="false" customHeight="false" outlineLevel="0" collapsed="false">
      <c r="A78" s="11" t="s">
        <v>162</v>
      </c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3"/>
      <c r="R78" s="12"/>
      <c r="S78" s="13"/>
      <c r="T78" s="14"/>
      <c r="U78" s="12"/>
      <c r="V78" s="13"/>
      <c r="W78" s="12"/>
      <c r="X78" s="12"/>
      <c r="Y78" s="12"/>
    </row>
    <row r="79" customFormat="false" ht="15" hidden="false" customHeight="false" outlineLevel="0" collapsed="false">
      <c r="A79" s="11" t="s">
        <v>163</v>
      </c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3"/>
      <c r="R79" s="12"/>
      <c r="S79" s="13"/>
      <c r="T79" s="14"/>
      <c r="U79" s="12"/>
      <c r="V79" s="13"/>
      <c r="W79" s="12"/>
      <c r="X79" s="12"/>
      <c r="Y79" s="12"/>
    </row>
    <row r="80" customFormat="false" ht="15" hidden="false" customHeight="false" outlineLevel="0" collapsed="false">
      <c r="A80" s="11" t="s">
        <v>164</v>
      </c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3"/>
      <c r="R80" s="12"/>
      <c r="S80" s="13"/>
      <c r="T80" s="14"/>
      <c r="U80" s="12"/>
      <c r="V80" s="13"/>
      <c r="W80" s="12"/>
      <c r="X80" s="12"/>
      <c r="Y80" s="12"/>
    </row>
    <row r="81" customFormat="false" ht="15" hidden="false" customHeight="false" outlineLevel="0" collapsed="false">
      <c r="A81" s="11" t="s">
        <v>165</v>
      </c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3"/>
      <c r="R81" s="12"/>
      <c r="S81" s="13"/>
      <c r="T81" s="14"/>
      <c r="U81" s="12"/>
      <c r="V81" s="13"/>
      <c r="W81" s="12"/>
      <c r="X81" s="12"/>
      <c r="Y81" s="12"/>
    </row>
    <row r="82" customFormat="false" ht="15" hidden="false" customHeight="false" outlineLevel="0" collapsed="false">
      <c r="A82" s="11" t="s">
        <v>166</v>
      </c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3"/>
      <c r="R82" s="12"/>
      <c r="S82" s="13"/>
      <c r="T82" s="14"/>
      <c r="U82" s="12"/>
      <c r="V82" s="13"/>
      <c r="W82" s="12"/>
      <c r="X82" s="12"/>
      <c r="Y82" s="12"/>
    </row>
    <row r="83" customFormat="false" ht="15" hidden="false" customHeight="false" outlineLevel="0" collapsed="false">
      <c r="A83" s="11" t="s">
        <v>167</v>
      </c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3"/>
      <c r="R83" s="12"/>
      <c r="S83" s="13"/>
      <c r="T83" s="14"/>
      <c r="U83" s="12"/>
      <c r="V83" s="13"/>
      <c r="W83" s="12"/>
      <c r="X83" s="12"/>
      <c r="Y83" s="12"/>
    </row>
    <row r="84" customFormat="false" ht="15" hidden="false" customHeight="false" outlineLevel="0" collapsed="false">
      <c r="A84" s="11" t="s">
        <v>168</v>
      </c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3"/>
      <c r="R84" s="12"/>
      <c r="S84" s="13"/>
      <c r="T84" s="14"/>
      <c r="U84" s="12"/>
      <c r="V84" s="13"/>
      <c r="W84" s="12"/>
      <c r="X84" s="12"/>
      <c r="Y84" s="12"/>
    </row>
    <row r="85" customFormat="false" ht="15" hidden="false" customHeight="false" outlineLevel="0" collapsed="false">
      <c r="A85" s="11" t="s">
        <v>169</v>
      </c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3"/>
      <c r="R85" s="12"/>
      <c r="S85" s="13"/>
      <c r="T85" s="14"/>
      <c r="U85" s="12"/>
      <c r="V85" s="13"/>
      <c r="W85" s="12"/>
      <c r="X85" s="12"/>
      <c r="Y85" s="12"/>
    </row>
    <row r="86" customFormat="false" ht="15" hidden="false" customHeight="false" outlineLevel="0" collapsed="false">
      <c r="A86" s="11" t="s">
        <v>170</v>
      </c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3"/>
      <c r="R86" s="12"/>
      <c r="S86" s="13"/>
      <c r="T86" s="14"/>
      <c r="U86" s="12"/>
      <c r="V86" s="13"/>
      <c r="W86" s="12"/>
      <c r="X86" s="12"/>
      <c r="Y86" s="12"/>
    </row>
    <row r="87" customFormat="false" ht="15" hidden="false" customHeight="false" outlineLevel="0" collapsed="false">
      <c r="A87" s="11" t="s">
        <v>171</v>
      </c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3"/>
      <c r="R87" s="12"/>
      <c r="S87" s="13"/>
      <c r="T87" s="14"/>
      <c r="U87" s="12"/>
      <c r="V87" s="13"/>
      <c r="W87" s="12"/>
      <c r="X87" s="12"/>
      <c r="Y87" s="12"/>
    </row>
    <row r="88" customFormat="false" ht="15" hidden="false" customHeight="false" outlineLevel="0" collapsed="false">
      <c r="A88" s="11" t="s">
        <v>172</v>
      </c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3"/>
      <c r="R88" s="12"/>
      <c r="S88" s="13"/>
      <c r="T88" s="14"/>
      <c r="U88" s="12"/>
      <c r="V88" s="13"/>
      <c r="W88" s="12"/>
      <c r="X88" s="12"/>
      <c r="Y88" s="12"/>
    </row>
    <row r="89" customFormat="false" ht="15" hidden="false" customHeight="false" outlineLevel="0" collapsed="false">
      <c r="A89" s="11" t="s">
        <v>173</v>
      </c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3"/>
      <c r="R89" s="12"/>
      <c r="S89" s="13"/>
      <c r="T89" s="14"/>
      <c r="U89" s="12"/>
      <c r="V89" s="13"/>
      <c r="W89" s="12"/>
      <c r="X89" s="12"/>
      <c r="Y89" s="12"/>
    </row>
    <row r="90" customFormat="false" ht="15" hidden="false" customHeight="false" outlineLevel="0" collapsed="false">
      <c r="A90" s="11" t="s">
        <v>174</v>
      </c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3"/>
      <c r="R90" s="12"/>
      <c r="S90" s="13"/>
      <c r="T90" s="14"/>
      <c r="U90" s="12"/>
      <c r="V90" s="13"/>
      <c r="W90" s="12"/>
      <c r="X90" s="12"/>
      <c r="Y90" s="12"/>
    </row>
    <row r="91" customFormat="false" ht="15" hidden="false" customHeight="false" outlineLevel="0" collapsed="false">
      <c r="A91" s="11" t="s">
        <v>175</v>
      </c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3"/>
      <c r="R91" s="12"/>
      <c r="S91" s="13"/>
      <c r="T91" s="14"/>
      <c r="U91" s="12"/>
      <c r="V91" s="13"/>
      <c r="W91" s="12"/>
      <c r="X91" s="12"/>
      <c r="Y91" s="12"/>
    </row>
    <row r="92" customFormat="false" ht="15" hidden="false" customHeight="false" outlineLevel="0" collapsed="false">
      <c r="A92" s="11" t="s">
        <v>176</v>
      </c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3"/>
      <c r="R92" s="12"/>
      <c r="S92" s="13"/>
      <c r="T92" s="14"/>
      <c r="U92" s="12"/>
      <c r="V92" s="13"/>
      <c r="W92" s="12"/>
      <c r="X92" s="12"/>
      <c r="Y92" s="12"/>
    </row>
    <row r="93" customFormat="false" ht="15" hidden="false" customHeight="false" outlineLevel="0" collapsed="false">
      <c r="A93" s="11" t="s">
        <v>177</v>
      </c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3"/>
      <c r="R93" s="12"/>
      <c r="S93" s="13"/>
      <c r="T93" s="14"/>
      <c r="U93" s="12"/>
      <c r="V93" s="13"/>
      <c r="W93" s="12"/>
      <c r="X93" s="12"/>
      <c r="Y93" s="12"/>
    </row>
    <row r="94" customFormat="false" ht="15" hidden="false" customHeight="false" outlineLevel="0" collapsed="false">
      <c r="A94" s="11" t="s">
        <v>178</v>
      </c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3"/>
      <c r="R94" s="12"/>
      <c r="S94" s="13"/>
      <c r="T94" s="14"/>
      <c r="U94" s="12"/>
      <c r="V94" s="13"/>
      <c r="W94" s="12"/>
      <c r="X94" s="12"/>
      <c r="Y94" s="12"/>
    </row>
    <row r="95" customFormat="false" ht="15" hidden="false" customHeight="false" outlineLevel="0" collapsed="false">
      <c r="A95" s="11" t="s">
        <v>179</v>
      </c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3"/>
      <c r="R95" s="12"/>
      <c r="S95" s="13"/>
      <c r="T95" s="14"/>
      <c r="U95" s="12"/>
      <c r="V95" s="13"/>
      <c r="W95" s="12"/>
      <c r="X95" s="12"/>
      <c r="Y95" s="12"/>
    </row>
    <row r="96" customFormat="false" ht="15" hidden="false" customHeight="false" outlineLevel="0" collapsed="false">
      <c r="A96" s="11" t="s">
        <v>180</v>
      </c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3"/>
      <c r="R96" s="12"/>
      <c r="S96" s="13"/>
      <c r="T96" s="14"/>
      <c r="U96" s="12"/>
      <c r="V96" s="13"/>
      <c r="W96" s="12"/>
      <c r="X96" s="12"/>
      <c r="Y96" s="12"/>
    </row>
    <row r="97" customFormat="false" ht="15" hidden="false" customHeight="false" outlineLevel="0" collapsed="false">
      <c r="A97" s="11" t="s">
        <v>181</v>
      </c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3"/>
      <c r="R97" s="12"/>
      <c r="S97" s="13"/>
      <c r="T97" s="14"/>
      <c r="U97" s="12"/>
      <c r="V97" s="13"/>
      <c r="W97" s="12"/>
      <c r="X97" s="12"/>
      <c r="Y97" s="12"/>
    </row>
    <row r="98" customFormat="false" ht="15" hidden="false" customHeight="false" outlineLevel="0" collapsed="false">
      <c r="A98" s="11" t="s">
        <v>182</v>
      </c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3"/>
      <c r="R98" s="12"/>
      <c r="S98" s="13"/>
      <c r="T98" s="14"/>
      <c r="U98" s="12"/>
      <c r="V98" s="13"/>
      <c r="W98" s="12"/>
      <c r="X98" s="12"/>
      <c r="Y98" s="12"/>
    </row>
    <row r="99" customFormat="false" ht="15" hidden="false" customHeight="false" outlineLevel="0" collapsed="false">
      <c r="A99" s="11" t="s">
        <v>183</v>
      </c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3"/>
      <c r="R99" s="12"/>
      <c r="S99" s="13"/>
      <c r="T99" s="14"/>
      <c r="U99" s="12"/>
      <c r="V99" s="13"/>
      <c r="W99" s="12"/>
      <c r="X99" s="12"/>
      <c r="Y99" s="12"/>
    </row>
    <row r="100" customFormat="false" ht="15" hidden="false" customHeight="false" outlineLevel="0" collapsed="false">
      <c r="A100" s="11" t="s">
        <v>184</v>
      </c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3"/>
      <c r="R100" s="12"/>
      <c r="S100" s="13"/>
      <c r="T100" s="14"/>
      <c r="U100" s="12"/>
      <c r="V100" s="13"/>
      <c r="W100" s="12"/>
      <c r="X100" s="12"/>
      <c r="Y100" s="12"/>
    </row>
    <row r="101" customFormat="false" ht="15" hidden="false" customHeight="false" outlineLevel="0" collapsed="false">
      <c r="A101" s="11" t="s">
        <v>185</v>
      </c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3"/>
      <c r="R101" s="12"/>
      <c r="S101" s="13"/>
      <c r="T101" s="14"/>
      <c r="U101" s="12"/>
      <c r="V101" s="13"/>
      <c r="W101" s="12"/>
      <c r="X101" s="12"/>
      <c r="Y101" s="12"/>
    </row>
    <row r="102" customFormat="false" ht="15" hidden="false" customHeight="false" outlineLevel="0" collapsed="false">
      <c r="A102" s="11" t="s">
        <v>186</v>
      </c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3"/>
      <c r="R102" s="12"/>
      <c r="S102" s="13"/>
      <c r="T102" s="14"/>
      <c r="U102" s="12"/>
      <c r="V102" s="13"/>
      <c r="W102" s="12"/>
      <c r="X102" s="12"/>
      <c r="Y102" s="12"/>
    </row>
    <row r="103" customFormat="false" ht="15" hidden="false" customHeight="false" outlineLevel="0" collapsed="false">
      <c r="A103" s="11" t="s">
        <v>187</v>
      </c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3"/>
      <c r="R103" s="12"/>
      <c r="S103" s="13"/>
      <c r="T103" s="14"/>
      <c r="U103" s="12"/>
      <c r="V103" s="13"/>
      <c r="W103" s="12"/>
      <c r="X103" s="12"/>
      <c r="Y103" s="12"/>
    </row>
    <row r="104" customFormat="false" ht="15" hidden="false" customHeight="false" outlineLevel="0" collapsed="false">
      <c r="A104" s="11" t="s">
        <v>188</v>
      </c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3"/>
      <c r="R104" s="12"/>
      <c r="S104" s="13"/>
      <c r="T104" s="14"/>
      <c r="U104" s="12"/>
      <c r="V104" s="13"/>
      <c r="W104" s="12"/>
      <c r="X104" s="12"/>
      <c r="Y104" s="12"/>
    </row>
    <row r="105" customFormat="false" ht="15" hidden="false" customHeight="false" outlineLevel="0" collapsed="false">
      <c r="A105" s="11" t="s">
        <v>189</v>
      </c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3"/>
      <c r="R105" s="12"/>
      <c r="S105" s="13"/>
      <c r="T105" s="14"/>
      <c r="U105" s="12"/>
      <c r="V105" s="13"/>
      <c r="W105" s="12"/>
      <c r="X105" s="12"/>
      <c r="Y105" s="12"/>
    </row>
    <row r="106" customFormat="false" ht="15" hidden="false" customHeight="false" outlineLevel="0" collapsed="false">
      <c r="A106" s="11" t="s">
        <v>190</v>
      </c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3"/>
      <c r="R106" s="12"/>
      <c r="S106" s="13"/>
      <c r="T106" s="14"/>
      <c r="U106" s="12"/>
      <c r="V106" s="13"/>
      <c r="W106" s="12"/>
      <c r="X106" s="12"/>
      <c r="Y106" s="12"/>
    </row>
    <row r="107" customFormat="false" ht="15" hidden="false" customHeight="false" outlineLevel="0" collapsed="false">
      <c r="A107" s="11" t="s">
        <v>191</v>
      </c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3"/>
      <c r="R107" s="12"/>
      <c r="S107" s="13"/>
      <c r="T107" s="14"/>
      <c r="U107" s="12"/>
      <c r="V107" s="13"/>
      <c r="W107" s="12"/>
      <c r="X107" s="12"/>
      <c r="Y107" s="12"/>
    </row>
    <row r="108" customFormat="false" ht="15" hidden="false" customHeight="false" outlineLevel="0" collapsed="false">
      <c r="A108" s="11" t="s">
        <v>192</v>
      </c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3"/>
      <c r="R108" s="12"/>
      <c r="S108" s="13"/>
      <c r="T108" s="14"/>
      <c r="U108" s="12"/>
      <c r="V108" s="13"/>
      <c r="W108" s="12"/>
      <c r="X108" s="12"/>
      <c r="Y108" s="12"/>
    </row>
    <row r="109" customFormat="false" ht="15" hidden="false" customHeight="false" outlineLevel="0" collapsed="false">
      <c r="A109" s="11" t="s">
        <v>193</v>
      </c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3"/>
      <c r="R109" s="12"/>
      <c r="S109" s="13"/>
      <c r="T109" s="14"/>
      <c r="U109" s="12"/>
      <c r="V109" s="13"/>
      <c r="W109" s="12"/>
      <c r="X109" s="12"/>
      <c r="Y109" s="12"/>
    </row>
    <row r="110" customFormat="false" ht="15" hidden="false" customHeight="false" outlineLevel="0" collapsed="false">
      <c r="A110" s="11" t="s">
        <v>194</v>
      </c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3"/>
      <c r="R110" s="12"/>
      <c r="S110" s="13"/>
      <c r="T110" s="14"/>
      <c r="U110" s="12"/>
      <c r="V110" s="13"/>
      <c r="W110" s="12"/>
      <c r="X110" s="12"/>
      <c r="Y110" s="12"/>
    </row>
    <row r="111" customFormat="false" ht="15" hidden="false" customHeight="false" outlineLevel="0" collapsed="false">
      <c r="A111" s="11" t="s">
        <v>195</v>
      </c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3"/>
      <c r="R111" s="12"/>
      <c r="S111" s="13"/>
      <c r="T111" s="14"/>
      <c r="U111" s="12"/>
      <c r="V111" s="13"/>
      <c r="W111" s="12"/>
      <c r="X111" s="12"/>
      <c r="Y111" s="12"/>
    </row>
    <row r="112" customFormat="false" ht="15" hidden="false" customHeight="false" outlineLevel="0" collapsed="false">
      <c r="A112" s="11" t="s">
        <v>196</v>
      </c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3"/>
      <c r="R112" s="12"/>
      <c r="S112" s="13"/>
      <c r="T112" s="14"/>
      <c r="U112" s="12"/>
      <c r="V112" s="13"/>
      <c r="W112" s="12"/>
      <c r="X112" s="12"/>
      <c r="Y112" s="12"/>
    </row>
    <row r="113" customFormat="false" ht="15" hidden="false" customHeight="false" outlineLevel="0" collapsed="false">
      <c r="A113" s="11" t="s">
        <v>197</v>
      </c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3"/>
      <c r="R113" s="12"/>
      <c r="S113" s="13"/>
      <c r="T113" s="14"/>
      <c r="U113" s="12"/>
      <c r="V113" s="13"/>
      <c r="W113" s="12"/>
      <c r="X113" s="12"/>
      <c r="Y113" s="12"/>
    </row>
    <row r="114" customFormat="false" ht="15" hidden="false" customHeight="false" outlineLevel="0" collapsed="false">
      <c r="A114" s="11" t="s">
        <v>198</v>
      </c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3"/>
      <c r="R114" s="12"/>
      <c r="S114" s="13"/>
      <c r="T114" s="14"/>
      <c r="U114" s="12"/>
      <c r="V114" s="13"/>
      <c r="W114" s="12"/>
      <c r="X114" s="12"/>
      <c r="Y114" s="12"/>
    </row>
    <row r="115" customFormat="false" ht="15" hidden="false" customHeight="false" outlineLevel="0" collapsed="false">
      <c r="A115" s="11" t="s">
        <v>199</v>
      </c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3"/>
      <c r="R115" s="12"/>
      <c r="S115" s="13"/>
      <c r="T115" s="14"/>
      <c r="U115" s="12"/>
      <c r="V115" s="13"/>
      <c r="W115" s="12"/>
      <c r="X115" s="12"/>
      <c r="Y115" s="12"/>
    </row>
    <row r="116" customFormat="false" ht="15" hidden="false" customHeight="false" outlineLevel="0" collapsed="false">
      <c r="A116" s="11" t="s">
        <v>200</v>
      </c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3"/>
      <c r="R116" s="12"/>
      <c r="S116" s="13"/>
      <c r="T116" s="14"/>
      <c r="U116" s="12"/>
      <c r="V116" s="13"/>
      <c r="W116" s="12"/>
      <c r="X116" s="12"/>
      <c r="Y116" s="12"/>
    </row>
    <row r="117" customFormat="false" ht="15" hidden="false" customHeight="false" outlineLevel="0" collapsed="false">
      <c r="A117" s="11" t="s">
        <v>201</v>
      </c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3"/>
      <c r="R117" s="12"/>
      <c r="S117" s="13"/>
      <c r="T117" s="14"/>
      <c r="U117" s="12"/>
      <c r="V117" s="13"/>
      <c r="W117" s="12"/>
      <c r="X117" s="12"/>
      <c r="Y117" s="12"/>
    </row>
    <row r="118" customFormat="false" ht="15" hidden="false" customHeight="false" outlineLevel="0" collapsed="false">
      <c r="A118" s="11" t="s">
        <v>202</v>
      </c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3"/>
      <c r="R118" s="12"/>
      <c r="S118" s="13"/>
      <c r="T118" s="14"/>
      <c r="U118" s="12"/>
      <c r="V118" s="13"/>
      <c r="W118" s="12"/>
      <c r="X118" s="12"/>
      <c r="Y118" s="12"/>
    </row>
    <row r="119" customFormat="false" ht="15" hidden="false" customHeight="false" outlineLevel="0" collapsed="false">
      <c r="A119" s="11" t="s">
        <v>203</v>
      </c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3"/>
      <c r="R119" s="12"/>
      <c r="S119" s="13"/>
      <c r="T119" s="14"/>
      <c r="U119" s="12"/>
      <c r="V119" s="13"/>
      <c r="W119" s="12"/>
      <c r="X119" s="12"/>
      <c r="Y119" s="12"/>
    </row>
    <row r="120" customFormat="false" ht="15" hidden="false" customHeight="false" outlineLevel="0" collapsed="false">
      <c r="A120" s="11" t="s">
        <v>204</v>
      </c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3"/>
      <c r="R120" s="12"/>
      <c r="S120" s="13"/>
      <c r="T120" s="14"/>
      <c r="U120" s="12"/>
      <c r="V120" s="13"/>
      <c r="W120" s="12"/>
      <c r="X120" s="12"/>
      <c r="Y120" s="12"/>
    </row>
    <row r="121" customFormat="false" ht="15" hidden="false" customHeight="false" outlineLevel="0" collapsed="false">
      <c r="A121" s="11" t="s">
        <v>205</v>
      </c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3"/>
      <c r="R121" s="12"/>
      <c r="S121" s="13"/>
      <c r="T121" s="14"/>
      <c r="U121" s="12"/>
      <c r="V121" s="13"/>
      <c r="W121" s="12"/>
      <c r="X121" s="12"/>
      <c r="Y121" s="12"/>
    </row>
    <row r="122" customFormat="false" ht="15" hidden="false" customHeight="false" outlineLevel="0" collapsed="false">
      <c r="A122" s="11" t="s">
        <v>206</v>
      </c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3"/>
      <c r="R122" s="12"/>
      <c r="S122" s="13"/>
      <c r="T122" s="14"/>
      <c r="U122" s="12"/>
      <c r="V122" s="13"/>
      <c r="W122" s="12"/>
      <c r="X122" s="12"/>
      <c r="Y122" s="12"/>
    </row>
    <row r="123" customFormat="false" ht="15" hidden="false" customHeight="false" outlineLevel="0" collapsed="false">
      <c r="A123" s="11" t="s">
        <v>207</v>
      </c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3"/>
      <c r="R123" s="12"/>
      <c r="S123" s="13"/>
      <c r="T123" s="14"/>
      <c r="U123" s="12"/>
      <c r="V123" s="13"/>
      <c r="W123" s="12"/>
      <c r="X123" s="12"/>
      <c r="Y123" s="12"/>
    </row>
    <row r="124" customFormat="false" ht="15" hidden="false" customHeight="false" outlineLevel="0" collapsed="false">
      <c r="A124" s="11" t="s">
        <v>208</v>
      </c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3"/>
      <c r="R124" s="12"/>
      <c r="S124" s="13"/>
      <c r="T124" s="14"/>
      <c r="U124" s="12"/>
      <c r="V124" s="13"/>
      <c r="W124" s="12"/>
      <c r="X124" s="12"/>
      <c r="Y124" s="12"/>
    </row>
    <row r="125" customFormat="false" ht="15" hidden="false" customHeight="false" outlineLevel="0" collapsed="false">
      <c r="A125" s="11" t="s">
        <v>209</v>
      </c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3"/>
      <c r="R125" s="12"/>
      <c r="S125" s="13"/>
      <c r="T125" s="14"/>
      <c r="U125" s="12"/>
      <c r="V125" s="13"/>
      <c r="W125" s="12"/>
      <c r="X125" s="12"/>
      <c r="Y125" s="12"/>
    </row>
    <row r="126" customFormat="false" ht="15" hidden="false" customHeight="false" outlineLevel="0" collapsed="false">
      <c r="A126" s="11" t="s">
        <v>210</v>
      </c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3"/>
      <c r="R126" s="12"/>
      <c r="S126" s="13"/>
      <c r="T126" s="14"/>
      <c r="U126" s="12"/>
      <c r="V126" s="13"/>
      <c r="W126" s="12"/>
      <c r="X126" s="12"/>
      <c r="Y126" s="12"/>
    </row>
    <row r="127" customFormat="false" ht="15" hidden="false" customHeight="false" outlineLevel="0" collapsed="false">
      <c r="A127" s="11" t="s">
        <v>211</v>
      </c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3"/>
      <c r="R127" s="12"/>
      <c r="S127" s="13"/>
      <c r="T127" s="14"/>
      <c r="U127" s="12"/>
      <c r="V127" s="13"/>
      <c r="W127" s="12"/>
      <c r="X127" s="12"/>
      <c r="Y127" s="12"/>
    </row>
    <row r="128" customFormat="false" ht="15" hidden="false" customHeight="false" outlineLevel="0" collapsed="false">
      <c r="A128" s="11" t="s">
        <v>212</v>
      </c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3"/>
      <c r="R128" s="12"/>
      <c r="S128" s="13"/>
      <c r="T128" s="14"/>
      <c r="U128" s="12"/>
      <c r="V128" s="13"/>
      <c r="W128" s="12"/>
      <c r="X128" s="12"/>
      <c r="Y128" s="12"/>
    </row>
    <row r="129" customFormat="false" ht="15" hidden="false" customHeight="false" outlineLevel="0" collapsed="false">
      <c r="A129" s="11" t="s">
        <v>213</v>
      </c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3"/>
      <c r="R129" s="12"/>
      <c r="S129" s="13"/>
      <c r="T129" s="14"/>
      <c r="U129" s="12"/>
      <c r="V129" s="13"/>
      <c r="W129" s="12"/>
      <c r="X129" s="12"/>
      <c r="Y129" s="12"/>
    </row>
    <row r="130" customFormat="false" ht="15" hidden="false" customHeight="false" outlineLevel="0" collapsed="false">
      <c r="A130" s="11" t="s">
        <v>214</v>
      </c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3"/>
      <c r="R130" s="12"/>
      <c r="S130" s="13"/>
      <c r="T130" s="14"/>
      <c r="U130" s="12"/>
      <c r="V130" s="13"/>
      <c r="W130" s="12"/>
      <c r="X130" s="12"/>
      <c r="Y130" s="12"/>
    </row>
    <row r="131" customFormat="false" ht="15" hidden="false" customHeight="false" outlineLevel="0" collapsed="false">
      <c r="A131" s="11" t="s">
        <v>215</v>
      </c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3"/>
      <c r="R131" s="12"/>
      <c r="S131" s="13"/>
      <c r="T131" s="14"/>
      <c r="U131" s="12"/>
      <c r="V131" s="13"/>
      <c r="W131" s="12"/>
      <c r="X131" s="12"/>
      <c r="Y131" s="12"/>
    </row>
    <row r="132" customFormat="false" ht="15" hidden="false" customHeight="false" outlineLevel="0" collapsed="false">
      <c r="A132" s="11" t="s">
        <v>216</v>
      </c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3"/>
      <c r="R132" s="12"/>
      <c r="S132" s="13"/>
      <c r="T132" s="14"/>
      <c r="U132" s="12"/>
      <c r="V132" s="13"/>
      <c r="W132" s="12"/>
      <c r="X132" s="12"/>
      <c r="Y132" s="12"/>
    </row>
    <row r="133" customFormat="false" ht="15" hidden="false" customHeight="false" outlineLevel="0" collapsed="false">
      <c r="A133" s="11" t="s">
        <v>217</v>
      </c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3"/>
      <c r="R133" s="12"/>
      <c r="S133" s="13"/>
      <c r="T133" s="14"/>
      <c r="U133" s="12"/>
      <c r="V133" s="13"/>
      <c r="W133" s="12"/>
      <c r="X133" s="12"/>
      <c r="Y133" s="12"/>
    </row>
    <row r="134" customFormat="false" ht="15" hidden="false" customHeight="false" outlineLevel="0" collapsed="false">
      <c r="A134" s="11" t="s">
        <v>218</v>
      </c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3"/>
      <c r="R134" s="12"/>
      <c r="S134" s="13"/>
      <c r="T134" s="14"/>
      <c r="U134" s="12"/>
      <c r="V134" s="13"/>
      <c r="W134" s="12"/>
      <c r="X134" s="12"/>
      <c r="Y134" s="12"/>
    </row>
    <row r="135" customFormat="false" ht="15" hidden="false" customHeight="false" outlineLevel="0" collapsed="false">
      <c r="A135" s="11" t="s">
        <v>219</v>
      </c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3"/>
      <c r="R135" s="12"/>
      <c r="S135" s="13"/>
      <c r="T135" s="14"/>
      <c r="U135" s="12"/>
      <c r="V135" s="13"/>
      <c r="W135" s="12"/>
      <c r="X135" s="12"/>
      <c r="Y135" s="12"/>
    </row>
    <row r="136" customFormat="false" ht="15" hidden="false" customHeight="false" outlineLevel="0" collapsed="false">
      <c r="A136" s="11" t="s">
        <v>220</v>
      </c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3"/>
      <c r="R136" s="12"/>
      <c r="S136" s="13"/>
      <c r="T136" s="14"/>
      <c r="U136" s="12"/>
      <c r="V136" s="13"/>
      <c r="W136" s="12"/>
      <c r="X136" s="12"/>
      <c r="Y136" s="12"/>
    </row>
    <row r="137" customFormat="false" ht="15" hidden="false" customHeight="false" outlineLevel="0" collapsed="false">
      <c r="A137" s="11" t="s">
        <v>221</v>
      </c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3"/>
      <c r="R137" s="12"/>
      <c r="S137" s="13"/>
      <c r="T137" s="14"/>
      <c r="U137" s="12"/>
      <c r="V137" s="13"/>
      <c r="W137" s="12"/>
      <c r="X137" s="12"/>
      <c r="Y137" s="12"/>
    </row>
    <row r="138" customFormat="false" ht="15" hidden="false" customHeight="false" outlineLevel="0" collapsed="false">
      <c r="A138" s="11" t="s">
        <v>222</v>
      </c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3"/>
      <c r="R138" s="12"/>
      <c r="S138" s="13"/>
      <c r="T138" s="14"/>
      <c r="U138" s="12"/>
      <c r="V138" s="13"/>
      <c r="W138" s="12"/>
      <c r="X138" s="12"/>
      <c r="Y138" s="12"/>
    </row>
    <row r="139" customFormat="false" ht="15" hidden="false" customHeight="false" outlineLevel="0" collapsed="false">
      <c r="A139" s="11" t="s">
        <v>223</v>
      </c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3"/>
      <c r="R139" s="12"/>
      <c r="S139" s="13"/>
      <c r="T139" s="14"/>
      <c r="U139" s="12"/>
      <c r="V139" s="13"/>
      <c r="W139" s="12"/>
      <c r="X139" s="12"/>
      <c r="Y139" s="12"/>
    </row>
    <row r="140" customFormat="false" ht="15" hidden="false" customHeight="false" outlineLevel="0" collapsed="false">
      <c r="A140" s="11" t="s">
        <v>224</v>
      </c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3"/>
      <c r="R140" s="12"/>
      <c r="S140" s="13"/>
      <c r="T140" s="14"/>
      <c r="U140" s="12"/>
      <c r="V140" s="13"/>
      <c r="W140" s="12"/>
      <c r="X140" s="12"/>
      <c r="Y140" s="12"/>
    </row>
    <row r="141" customFormat="false" ht="15" hidden="false" customHeight="false" outlineLevel="0" collapsed="false">
      <c r="A141" s="11" t="s">
        <v>225</v>
      </c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3"/>
      <c r="R141" s="12"/>
      <c r="S141" s="13"/>
      <c r="T141" s="14"/>
      <c r="U141" s="12"/>
      <c r="V141" s="13"/>
      <c r="W141" s="12"/>
      <c r="X141" s="12"/>
      <c r="Y141" s="12"/>
    </row>
    <row r="142" customFormat="false" ht="15" hidden="false" customHeight="false" outlineLevel="0" collapsed="false">
      <c r="A142" s="11" t="s">
        <v>226</v>
      </c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3"/>
      <c r="R142" s="12"/>
      <c r="S142" s="13"/>
      <c r="T142" s="14"/>
      <c r="U142" s="12"/>
      <c r="V142" s="13"/>
      <c r="W142" s="12"/>
      <c r="X142" s="12"/>
      <c r="Y142" s="12"/>
    </row>
    <row r="143" customFormat="false" ht="15" hidden="false" customHeight="false" outlineLevel="0" collapsed="false">
      <c r="A143" s="11" t="s">
        <v>227</v>
      </c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3"/>
      <c r="R143" s="12"/>
      <c r="S143" s="13"/>
      <c r="T143" s="14"/>
      <c r="U143" s="12"/>
      <c r="V143" s="13"/>
      <c r="W143" s="12"/>
      <c r="X143" s="12"/>
      <c r="Y143" s="12"/>
    </row>
    <row r="144" customFormat="false" ht="15" hidden="false" customHeight="false" outlineLevel="0" collapsed="false">
      <c r="A144" s="11" t="s">
        <v>228</v>
      </c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3"/>
      <c r="R144" s="12"/>
      <c r="S144" s="13"/>
      <c r="T144" s="14"/>
      <c r="U144" s="12"/>
      <c r="V144" s="13"/>
      <c r="W144" s="12"/>
      <c r="X144" s="12"/>
      <c r="Y144" s="12"/>
    </row>
    <row r="145" customFormat="false" ht="15" hidden="false" customHeight="false" outlineLevel="0" collapsed="false">
      <c r="A145" s="11" t="s">
        <v>229</v>
      </c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3"/>
      <c r="R145" s="12"/>
      <c r="S145" s="13"/>
      <c r="T145" s="14"/>
      <c r="U145" s="12"/>
      <c r="V145" s="13"/>
      <c r="W145" s="12"/>
      <c r="X145" s="12"/>
      <c r="Y145" s="12"/>
    </row>
    <row r="146" customFormat="false" ht="15" hidden="false" customHeight="false" outlineLevel="0" collapsed="false">
      <c r="A146" s="11" t="s">
        <v>230</v>
      </c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3"/>
      <c r="R146" s="12"/>
      <c r="S146" s="13"/>
      <c r="T146" s="14"/>
      <c r="U146" s="12"/>
      <c r="V146" s="13"/>
      <c r="W146" s="12"/>
      <c r="X146" s="12"/>
      <c r="Y146" s="12"/>
    </row>
    <row r="147" customFormat="false" ht="15" hidden="false" customHeight="false" outlineLevel="0" collapsed="false">
      <c r="A147" s="11" t="s">
        <v>231</v>
      </c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3"/>
      <c r="R147" s="12"/>
      <c r="S147" s="13"/>
      <c r="T147" s="14"/>
      <c r="U147" s="12"/>
      <c r="V147" s="13"/>
      <c r="W147" s="12"/>
      <c r="X147" s="12"/>
      <c r="Y147" s="12"/>
    </row>
    <row r="148" customFormat="false" ht="15" hidden="false" customHeight="false" outlineLevel="0" collapsed="false">
      <c r="A148" s="11" t="s">
        <v>232</v>
      </c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3"/>
      <c r="R148" s="12"/>
      <c r="S148" s="13"/>
      <c r="T148" s="14"/>
      <c r="U148" s="12"/>
      <c r="V148" s="13"/>
      <c r="W148" s="12"/>
      <c r="X148" s="12"/>
      <c r="Y148" s="12"/>
    </row>
    <row r="149" customFormat="false" ht="15" hidden="false" customHeight="false" outlineLevel="0" collapsed="false">
      <c r="A149" s="11" t="s">
        <v>233</v>
      </c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3"/>
      <c r="R149" s="12"/>
      <c r="S149" s="13"/>
      <c r="T149" s="14"/>
      <c r="U149" s="12"/>
      <c r="V149" s="13"/>
      <c r="W149" s="12"/>
      <c r="X149" s="12"/>
      <c r="Y149" s="12"/>
    </row>
    <row r="150" customFormat="false" ht="15" hidden="false" customHeight="false" outlineLevel="0" collapsed="false">
      <c r="A150" s="11" t="s">
        <v>234</v>
      </c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3"/>
      <c r="R150" s="12"/>
      <c r="S150" s="13"/>
      <c r="T150" s="14"/>
      <c r="U150" s="12"/>
      <c r="V150" s="13"/>
      <c r="W150" s="12"/>
      <c r="X150" s="12"/>
      <c r="Y150" s="12"/>
    </row>
    <row r="151" customFormat="false" ht="15" hidden="false" customHeight="false" outlineLevel="0" collapsed="false">
      <c r="A151" s="11" t="s">
        <v>235</v>
      </c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3"/>
      <c r="R151" s="12"/>
      <c r="S151" s="13"/>
      <c r="T151" s="14"/>
      <c r="U151" s="12"/>
      <c r="V151" s="13"/>
      <c r="W151" s="12"/>
      <c r="X151" s="12"/>
      <c r="Y151" s="12"/>
    </row>
    <row r="152" customFormat="false" ht="15" hidden="false" customHeight="false" outlineLevel="0" collapsed="false">
      <c r="A152" s="11" t="s">
        <v>236</v>
      </c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3"/>
      <c r="R152" s="12"/>
      <c r="S152" s="13"/>
      <c r="T152" s="14"/>
      <c r="U152" s="12"/>
      <c r="V152" s="13"/>
      <c r="W152" s="12"/>
      <c r="X152" s="12"/>
      <c r="Y152" s="12"/>
    </row>
    <row r="153" customFormat="false" ht="15" hidden="false" customHeight="false" outlineLevel="0" collapsed="false">
      <c r="A153" s="11" t="s">
        <v>237</v>
      </c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3"/>
      <c r="R153" s="12"/>
      <c r="S153" s="13"/>
      <c r="T153" s="14"/>
      <c r="U153" s="12"/>
      <c r="V153" s="13"/>
      <c r="W153" s="12"/>
      <c r="X153" s="12"/>
      <c r="Y153" s="12"/>
    </row>
    <row r="154" customFormat="false" ht="15" hidden="false" customHeight="false" outlineLevel="0" collapsed="false">
      <c r="A154" s="11" t="s">
        <v>238</v>
      </c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3"/>
      <c r="R154" s="12"/>
      <c r="S154" s="13"/>
      <c r="T154" s="14"/>
      <c r="U154" s="12"/>
      <c r="V154" s="13"/>
      <c r="W154" s="12"/>
      <c r="X154" s="12"/>
      <c r="Y154" s="12"/>
    </row>
    <row r="155" customFormat="false" ht="15" hidden="false" customHeight="false" outlineLevel="0" collapsed="false">
      <c r="A155" s="11" t="s">
        <v>239</v>
      </c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3"/>
      <c r="R155" s="12"/>
      <c r="S155" s="13"/>
      <c r="T155" s="14"/>
      <c r="U155" s="12"/>
      <c r="V155" s="13"/>
      <c r="W155" s="12"/>
      <c r="X155" s="12"/>
      <c r="Y155" s="12"/>
    </row>
    <row r="156" customFormat="false" ht="15" hidden="false" customHeight="false" outlineLevel="0" collapsed="false">
      <c r="A156" s="11" t="s">
        <v>240</v>
      </c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3"/>
      <c r="R156" s="12"/>
      <c r="S156" s="13"/>
      <c r="T156" s="14"/>
      <c r="U156" s="12"/>
      <c r="V156" s="13"/>
      <c r="W156" s="12"/>
      <c r="X156" s="12"/>
      <c r="Y156" s="12"/>
    </row>
    <row r="157" customFormat="false" ht="15" hidden="false" customHeight="false" outlineLevel="0" collapsed="false">
      <c r="A157" s="11" t="s">
        <v>241</v>
      </c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3"/>
      <c r="R157" s="12"/>
      <c r="S157" s="13"/>
      <c r="T157" s="14"/>
      <c r="U157" s="12"/>
      <c r="V157" s="13"/>
      <c r="W157" s="12"/>
      <c r="X157" s="12"/>
      <c r="Y157" s="12"/>
    </row>
    <row r="158" customFormat="false" ht="15" hidden="false" customHeight="false" outlineLevel="0" collapsed="false">
      <c r="A158" s="11" t="s">
        <v>242</v>
      </c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3"/>
      <c r="R158" s="12"/>
      <c r="S158" s="13"/>
      <c r="T158" s="14"/>
      <c r="U158" s="12"/>
      <c r="V158" s="13"/>
      <c r="W158" s="12"/>
      <c r="X158" s="12"/>
      <c r="Y158" s="12"/>
    </row>
    <row r="159" customFormat="false" ht="15" hidden="false" customHeight="false" outlineLevel="0" collapsed="false">
      <c r="A159" s="11" t="s">
        <v>243</v>
      </c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3"/>
      <c r="R159" s="12"/>
      <c r="S159" s="13"/>
      <c r="T159" s="14"/>
      <c r="U159" s="12"/>
      <c r="V159" s="13"/>
      <c r="W159" s="12"/>
      <c r="X159" s="12"/>
      <c r="Y159" s="12"/>
    </row>
    <row r="160" customFormat="false" ht="15" hidden="false" customHeight="false" outlineLevel="0" collapsed="false">
      <c r="A160" s="11" t="s">
        <v>244</v>
      </c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3"/>
      <c r="R160" s="12"/>
      <c r="S160" s="13"/>
      <c r="T160" s="14"/>
      <c r="U160" s="12"/>
      <c r="V160" s="13"/>
      <c r="W160" s="12"/>
      <c r="X160" s="12"/>
      <c r="Y160" s="12"/>
    </row>
    <row r="161" customFormat="false" ht="15" hidden="false" customHeight="false" outlineLevel="0" collapsed="false">
      <c r="A161" s="11" t="s">
        <v>245</v>
      </c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3"/>
      <c r="R161" s="12"/>
      <c r="S161" s="13"/>
      <c r="T161" s="14"/>
      <c r="U161" s="12"/>
      <c r="V161" s="13"/>
      <c r="W161" s="12"/>
      <c r="X161" s="12"/>
      <c r="Y161" s="12"/>
    </row>
    <row r="162" customFormat="false" ht="15" hidden="false" customHeight="false" outlineLevel="0" collapsed="false">
      <c r="A162" s="11" t="s">
        <v>246</v>
      </c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3"/>
      <c r="R162" s="12"/>
      <c r="S162" s="13"/>
      <c r="T162" s="14"/>
      <c r="U162" s="12"/>
      <c r="V162" s="13"/>
      <c r="W162" s="12"/>
      <c r="X162" s="12"/>
      <c r="Y162" s="12"/>
    </row>
    <row r="163" customFormat="false" ht="15" hidden="false" customHeight="false" outlineLevel="0" collapsed="false">
      <c r="A163" s="11" t="s">
        <v>247</v>
      </c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3"/>
      <c r="R163" s="12"/>
      <c r="S163" s="13"/>
      <c r="T163" s="14"/>
      <c r="U163" s="12"/>
      <c r="V163" s="13"/>
      <c r="W163" s="12"/>
      <c r="X163" s="12"/>
      <c r="Y163" s="12"/>
    </row>
    <row r="164" customFormat="false" ht="15" hidden="false" customHeight="false" outlineLevel="0" collapsed="false">
      <c r="A164" s="11" t="s">
        <v>248</v>
      </c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3"/>
      <c r="R164" s="12"/>
      <c r="S164" s="13"/>
      <c r="T164" s="14"/>
      <c r="U164" s="12"/>
      <c r="V164" s="13"/>
      <c r="W164" s="12"/>
      <c r="X164" s="12"/>
      <c r="Y164" s="12"/>
    </row>
    <row r="165" customFormat="false" ht="15" hidden="false" customHeight="false" outlineLevel="0" collapsed="false">
      <c r="A165" s="11" t="s">
        <v>249</v>
      </c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3"/>
      <c r="R165" s="12"/>
      <c r="S165" s="13"/>
      <c r="T165" s="14"/>
      <c r="U165" s="12"/>
      <c r="V165" s="13"/>
      <c r="W165" s="12"/>
      <c r="X165" s="12"/>
      <c r="Y165" s="12"/>
    </row>
    <row r="166" customFormat="false" ht="15" hidden="false" customHeight="false" outlineLevel="0" collapsed="false">
      <c r="A166" s="11" t="s">
        <v>250</v>
      </c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3"/>
      <c r="R166" s="12"/>
      <c r="S166" s="13"/>
      <c r="T166" s="14"/>
      <c r="U166" s="12"/>
      <c r="V166" s="13"/>
      <c r="W166" s="12"/>
      <c r="X166" s="12"/>
      <c r="Y166" s="12"/>
    </row>
    <row r="167" customFormat="false" ht="15" hidden="false" customHeight="false" outlineLevel="0" collapsed="false">
      <c r="A167" s="11" t="s">
        <v>251</v>
      </c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3"/>
      <c r="R167" s="12"/>
      <c r="S167" s="13"/>
      <c r="T167" s="14"/>
      <c r="U167" s="12"/>
      <c r="V167" s="13"/>
      <c r="W167" s="12"/>
      <c r="X167" s="12"/>
      <c r="Y167" s="12"/>
    </row>
    <row r="168" customFormat="false" ht="15" hidden="false" customHeight="false" outlineLevel="0" collapsed="false">
      <c r="A168" s="11" t="s">
        <v>252</v>
      </c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3"/>
      <c r="R168" s="12"/>
      <c r="S168" s="13"/>
      <c r="T168" s="14"/>
      <c r="U168" s="12"/>
      <c r="V168" s="13"/>
      <c r="W168" s="12"/>
      <c r="X168" s="12"/>
      <c r="Y168" s="12"/>
    </row>
    <row r="169" customFormat="false" ht="15" hidden="false" customHeight="false" outlineLevel="0" collapsed="false">
      <c r="A169" s="11" t="s">
        <v>253</v>
      </c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3"/>
      <c r="R169" s="12"/>
      <c r="S169" s="13"/>
      <c r="T169" s="14"/>
      <c r="U169" s="12"/>
      <c r="V169" s="13"/>
      <c r="W169" s="12"/>
      <c r="X169" s="12"/>
      <c r="Y169" s="12"/>
    </row>
    <row r="170" customFormat="false" ht="15" hidden="false" customHeight="false" outlineLevel="0" collapsed="false">
      <c r="A170" s="11" t="s">
        <v>254</v>
      </c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3"/>
      <c r="R170" s="12"/>
      <c r="S170" s="13"/>
      <c r="T170" s="14"/>
      <c r="U170" s="12"/>
      <c r="V170" s="13"/>
      <c r="W170" s="12"/>
      <c r="X170" s="12"/>
      <c r="Y170" s="12"/>
    </row>
    <row r="171" customFormat="false" ht="15" hidden="false" customHeight="false" outlineLevel="0" collapsed="false">
      <c r="A171" s="11" t="s">
        <v>255</v>
      </c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3"/>
      <c r="R171" s="12"/>
      <c r="S171" s="13"/>
      <c r="T171" s="14"/>
      <c r="U171" s="12"/>
      <c r="V171" s="13"/>
      <c r="W171" s="12"/>
      <c r="X171" s="12"/>
      <c r="Y171" s="12"/>
    </row>
    <row r="172" customFormat="false" ht="15" hidden="false" customHeight="false" outlineLevel="0" collapsed="false">
      <c r="A172" s="11" t="s">
        <v>256</v>
      </c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3"/>
      <c r="R172" s="12"/>
      <c r="S172" s="13"/>
      <c r="T172" s="14"/>
      <c r="U172" s="12"/>
      <c r="V172" s="13"/>
      <c r="W172" s="12"/>
      <c r="X172" s="12"/>
      <c r="Y172" s="12"/>
    </row>
    <row r="173" customFormat="false" ht="15" hidden="false" customHeight="false" outlineLevel="0" collapsed="false">
      <c r="A173" s="11" t="s">
        <v>257</v>
      </c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3"/>
      <c r="R173" s="12"/>
      <c r="S173" s="13"/>
      <c r="T173" s="14"/>
      <c r="U173" s="12"/>
      <c r="V173" s="13"/>
      <c r="W173" s="12"/>
      <c r="X173" s="12"/>
      <c r="Y173" s="12"/>
    </row>
    <row r="174" customFormat="false" ht="15" hidden="false" customHeight="false" outlineLevel="0" collapsed="false">
      <c r="A174" s="11" t="s">
        <v>258</v>
      </c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3"/>
      <c r="R174" s="12"/>
      <c r="S174" s="13"/>
      <c r="T174" s="14"/>
      <c r="U174" s="12"/>
      <c r="V174" s="13"/>
      <c r="W174" s="12"/>
      <c r="X174" s="12"/>
      <c r="Y174" s="12"/>
    </row>
    <row r="175" customFormat="false" ht="15" hidden="false" customHeight="false" outlineLevel="0" collapsed="false">
      <c r="A175" s="11" t="s">
        <v>259</v>
      </c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3"/>
      <c r="R175" s="12"/>
      <c r="S175" s="13"/>
      <c r="T175" s="14"/>
      <c r="U175" s="12"/>
      <c r="V175" s="13"/>
      <c r="W175" s="12"/>
      <c r="X175" s="12"/>
      <c r="Y175" s="12"/>
    </row>
    <row r="176" customFormat="false" ht="15" hidden="false" customHeight="false" outlineLevel="0" collapsed="false">
      <c r="A176" s="11" t="s">
        <v>260</v>
      </c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3"/>
      <c r="R176" s="12"/>
      <c r="S176" s="13"/>
      <c r="T176" s="14"/>
      <c r="U176" s="12"/>
      <c r="V176" s="13"/>
      <c r="W176" s="12"/>
      <c r="X176" s="12"/>
      <c r="Y176" s="12"/>
    </row>
    <row r="177" customFormat="false" ht="15" hidden="false" customHeight="false" outlineLevel="0" collapsed="false">
      <c r="A177" s="11" t="s">
        <v>261</v>
      </c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3"/>
      <c r="R177" s="12"/>
      <c r="S177" s="13"/>
      <c r="T177" s="14"/>
      <c r="U177" s="12"/>
      <c r="V177" s="13"/>
      <c r="W177" s="12"/>
      <c r="X177" s="12"/>
      <c r="Y177" s="12"/>
    </row>
    <row r="178" customFormat="false" ht="15" hidden="false" customHeight="false" outlineLevel="0" collapsed="false">
      <c r="A178" s="11" t="s">
        <v>262</v>
      </c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3"/>
      <c r="R178" s="12"/>
      <c r="S178" s="13"/>
      <c r="T178" s="14"/>
      <c r="U178" s="12"/>
      <c r="V178" s="13"/>
      <c r="W178" s="12"/>
      <c r="X178" s="12"/>
      <c r="Y178" s="12"/>
    </row>
    <row r="179" customFormat="false" ht="15" hidden="false" customHeight="false" outlineLevel="0" collapsed="false">
      <c r="A179" s="11" t="s">
        <v>263</v>
      </c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3"/>
      <c r="R179" s="12"/>
      <c r="S179" s="13"/>
      <c r="T179" s="14"/>
      <c r="U179" s="12"/>
      <c r="V179" s="13"/>
      <c r="W179" s="12"/>
      <c r="X179" s="12"/>
      <c r="Y179" s="12"/>
    </row>
    <row r="180" customFormat="false" ht="15" hidden="false" customHeight="false" outlineLevel="0" collapsed="false">
      <c r="A180" s="11" t="s">
        <v>264</v>
      </c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3"/>
      <c r="R180" s="12"/>
      <c r="S180" s="13"/>
      <c r="T180" s="14"/>
      <c r="U180" s="12"/>
      <c r="V180" s="13"/>
      <c r="W180" s="12"/>
      <c r="X180" s="12"/>
      <c r="Y180" s="12"/>
    </row>
    <row r="181" customFormat="false" ht="15" hidden="false" customHeight="false" outlineLevel="0" collapsed="false">
      <c r="A181" s="11" t="s">
        <v>265</v>
      </c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3"/>
      <c r="R181" s="12"/>
      <c r="S181" s="13"/>
      <c r="T181" s="14"/>
      <c r="U181" s="12"/>
      <c r="V181" s="13"/>
      <c r="W181" s="12"/>
      <c r="X181" s="12"/>
      <c r="Y181" s="12"/>
    </row>
    <row r="182" customFormat="false" ht="15" hidden="false" customHeight="false" outlineLevel="0" collapsed="false">
      <c r="A182" s="11" t="s">
        <v>266</v>
      </c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3"/>
      <c r="R182" s="12"/>
      <c r="S182" s="13"/>
      <c r="T182" s="14"/>
      <c r="U182" s="12"/>
      <c r="V182" s="13"/>
      <c r="W182" s="12"/>
      <c r="X182" s="12"/>
      <c r="Y182" s="12"/>
    </row>
    <row r="183" customFormat="false" ht="15" hidden="false" customHeight="false" outlineLevel="0" collapsed="false">
      <c r="A183" s="11" t="s">
        <v>267</v>
      </c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3"/>
      <c r="R183" s="12"/>
      <c r="S183" s="13"/>
      <c r="T183" s="14"/>
      <c r="U183" s="12"/>
      <c r="V183" s="13"/>
      <c r="W183" s="12"/>
      <c r="X183" s="12"/>
      <c r="Y183" s="12"/>
    </row>
    <row r="184" customFormat="false" ht="15" hidden="false" customHeight="false" outlineLevel="0" collapsed="false">
      <c r="A184" s="11" t="s">
        <v>268</v>
      </c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3"/>
      <c r="R184" s="12"/>
      <c r="S184" s="13"/>
      <c r="T184" s="14"/>
      <c r="U184" s="12"/>
      <c r="V184" s="13"/>
      <c r="W184" s="12"/>
      <c r="X184" s="12"/>
      <c r="Y184" s="12"/>
    </row>
    <row r="185" customFormat="false" ht="15" hidden="false" customHeight="false" outlineLevel="0" collapsed="false">
      <c r="A185" s="11" t="s">
        <v>269</v>
      </c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3"/>
      <c r="R185" s="12"/>
      <c r="S185" s="13"/>
      <c r="T185" s="14"/>
      <c r="U185" s="12"/>
      <c r="V185" s="13"/>
      <c r="W185" s="12"/>
      <c r="X185" s="12"/>
      <c r="Y185" s="12"/>
    </row>
    <row r="186" customFormat="false" ht="15" hidden="false" customHeight="false" outlineLevel="0" collapsed="false">
      <c r="A186" s="11" t="s">
        <v>270</v>
      </c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3"/>
      <c r="R186" s="12"/>
      <c r="S186" s="13"/>
      <c r="T186" s="14"/>
      <c r="U186" s="12"/>
      <c r="V186" s="13"/>
      <c r="W186" s="12"/>
      <c r="X186" s="12"/>
      <c r="Y186" s="12"/>
    </row>
    <row r="187" customFormat="false" ht="15" hidden="false" customHeight="false" outlineLevel="0" collapsed="false">
      <c r="A187" s="11" t="s">
        <v>271</v>
      </c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3"/>
      <c r="R187" s="12"/>
      <c r="S187" s="13"/>
      <c r="T187" s="14"/>
      <c r="U187" s="12"/>
      <c r="V187" s="13"/>
      <c r="W187" s="12"/>
      <c r="X187" s="12"/>
      <c r="Y187" s="12"/>
    </row>
    <row r="188" customFormat="false" ht="15" hidden="false" customHeight="false" outlineLevel="0" collapsed="false">
      <c r="A188" s="11" t="s">
        <v>272</v>
      </c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3"/>
      <c r="R188" s="12"/>
      <c r="S188" s="13"/>
      <c r="T188" s="14"/>
      <c r="U188" s="12"/>
      <c r="V188" s="13"/>
      <c r="W188" s="12"/>
      <c r="X188" s="12"/>
      <c r="Y188" s="12"/>
    </row>
    <row r="189" customFormat="false" ht="15" hidden="false" customHeight="false" outlineLevel="0" collapsed="false">
      <c r="A189" s="11" t="s">
        <v>273</v>
      </c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3"/>
      <c r="R189" s="12"/>
      <c r="S189" s="13"/>
      <c r="T189" s="14"/>
      <c r="U189" s="12"/>
      <c r="V189" s="13"/>
      <c r="W189" s="12"/>
      <c r="X189" s="12"/>
      <c r="Y189" s="12"/>
    </row>
    <row r="190" customFormat="false" ht="15" hidden="false" customHeight="false" outlineLevel="0" collapsed="false">
      <c r="A190" s="11" t="s">
        <v>274</v>
      </c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3"/>
      <c r="R190" s="12"/>
      <c r="S190" s="13"/>
      <c r="T190" s="14"/>
      <c r="U190" s="12"/>
      <c r="V190" s="13"/>
      <c r="W190" s="12"/>
      <c r="X190" s="12"/>
      <c r="Y190" s="12"/>
    </row>
    <row r="191" customFormat="false" ht="15" hidden="false" customHeight="false" outlineLevel="0" collapsed="false">
      <c r="A191" s="11" t="s">
        <v>275</v>
      </c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3"/>
      <c r="R191" s="12"/>
      <c r="S191" s="13"/>
      <c r="T191" s="14"/>
      <c r="U191" s="12"/>
      <c r="V191" s="13"/>
      <c r="W191" s="12"/>
      <c r="X191" s="12"/>
      <c r="Y191" s="12"/>
    </row>
    <row r="192" customFormat="false" ht="15" hidden="false" customHeight="false" outlineLevel="0" collapsed="false">
      <c r="A192" s="11" t="s">
        <v>276</v>
      </c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3"/>
      <c r="R192" s="12"/>
      <c r="S192" s="13"/>
      <c r="T192" s="14"/>
      <c r="U192" s="12"/>
      <c r="V192" s="13"/>
      <c r="W192" s="12"/>
      <c r="X192" s="12"/>
      <c r="Y192" s="12"/>
    </row>
    <row r="193" customFormat="false" ht="15" hidden="false" customHeight="false" outlineLevel="0" collapsed="false">
      <c r="A193" s="11" t="s">
        <v>277</v>
      </c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3"/>
      <c r="R193" s="12"/>
      <c r="S193" s="13"/>
      <c r="T193" s="14"/>
      <c r="U193" s="12"/>
      <c r="V193" s="13"/>
      <c r="W193" s="12"/>
      <c r="X193" s="12"/>
      <c r="Y193" s="12"/>
    </row>
    <row r="194" customFormat="false" ht="15" hidden="false" customHeight="false" outlineLevel="0" collapsed="false">
      <c r="A194" s="11" t="s">
        <v>278</v>
      </c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3"/>
      <c r="R194" s="12"/>
      <c r="S194" s="13"/>
      <c r="T194" s="14"/>
      <c r="U194" s="12"/>
      <c r="V194" s="13"/>
      <c r="W194" s="12"/>
      <c r="X194" s="12"/>
      <c r="Y194" s="12"/>
    </row>
    <row r="195" customFormat="false" ht="15" hidden="false" customHeight="false" outlineLevel="0" collapsed="false">
      <c r="A195" s="11" t="s">
        <v>279</v>
      </c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3"/>
      <c r="R195" s="12"/>
      <c r="S195" s="13"/>
      <c r="T195" s="14"/>
      <c r="U195" s="12"/>
      <c r="V195" s="13"/>
      <c r="W195" s="12"/>
      <c r="X195" s="12"/>
      <c r="Y195" s="12"/>
    </row>
    <row r="196" customFormat="false" ht="15" hidden="false" customHeight="false" outlineLevel="0" collapsed="false">
      <c r="A196" s="11" t="s">
        <v>280</v>
      </c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3"/>
      <c r="R196" s="12"/>
      <c r="S196" s="13"/>
      <c r="T196" s="14"/>
      <c r="U196" s="12"/>
      <c r="V196" s="13"/>
      <c r="W196" s="12"/>
      <c r="X196" s="12"/>
      <c r="Y196" s="12"/>
    </row>
    <row r="197" customFormat="false" ht="15" hidden="false" customHeight="false" outlineLevel="0" collapsed="false">
      <c r="A197" s="11" t="s">
        <v>281</v>
      </c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3"/>
      <c r="R197" s="12"/>
      <c r="S197" s="13"/>
      <c r="T197" s="14"/>
      <c r="U197" s="12"/>
      <c r="V197" s="13"/>
      <c r="W197" s="12"/>
      <c r="X197" s="12"/>
      <c r="Y197" s="12"/>
    </row>
    <row r="198" customFormat="false" ht="15" hidden="false" customHeight="false" outlineLevel="0" collapsed="false">
      <c r="A198" s="11" t="s">
        <v>282</v>
      </c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3"/>
      <c r="R198" s="12"/>
      <c r="S198" s="13"/>
      <c r="T198" s="14"/>
      <c r="U198" s="12"/>
      <c r="V198" s="13"/>
      <c r="W198" s="12"/>
      <c r="X198" s="12"/>
      <c r="Y198" s="12"/>
    </row>
    <row r="199" customFormat="false" ht="15" hidden="false" customHeight="false" outlineLevel="0" collapsed="false">
      <c r="A199" s="11" t="s">
        <v>283</v>
      </c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3"/>
      <c r="R199" s="12"/>
      <c r="S199" s="13"/>
      <c r="T199" s="14"/>
      <c r="U199" s="12"/>
      <c r="V199" s="13"/>
      <c r="W199" s="12"/>
      <c r="X199" s="12"/>
      <c r="Y199" s="12"/>
    </row>
    <row r="200" customFormat="false" ht="15" hidden="false" customHeight="false" outlineLevel="0" collapsed="false">
      <c r="A200" s="11" t="s">
        <v>284</v>
      </c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3"/>
      <c r="R200" s="12"/>
      <c r="S200" s="13"/>
      <c r="T200" s="14"/>
      <c r="U200" s="12"/>
      <c r="V200" s="13"/>
      <c r="W200" s="12"/>
      <c r="X200" s="12"/>
      <c r="Y200" s="12"/>
    </row>
    <row r="201" customFormat="false" ht="15" hidden="false" customHeight="false" outlineLevel="0" collapsed="false">
      <c r="A201" s="11" t="s">
        <v>285</v>
      </c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3"/>
      <c r="R201" s="12"/>
      <c r="S201" s="13"/>
      <c r="T201" s="14"/>
      <c r="U201" s="12"/>
      <c r="V201" s="13"/>
      <c r="W201" s="12"/>
      <c r="X201" s="12"/>
      <c r="Y201" s="12"/>
    </row>
    <row r="202" customFormat="false" ht="15" hidden="false" customHeight="false" outlineLevel="0" collapsed="false">
      <c r="A202" s="11" t="s">
        <v>286</v>
      </c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3"/>
      <c r="R202" s="12"/>
      <c r="S202" s="13"/>
      <c r="T202" s="14"/>
      <c r="U202" s="12"/>
      <c r="V202" s="13"/>
      <c r="W202" s="12"/>
      <c r="X202" s="12"/>
      <c r="Y202" s="12"/>
    </row>
    <row r="203" customFormat="false" ht="15" hidden="false" customHeight="false" outlineLevel="0" collapsed="false">
      <c r="A203" s="11" t="s">
        <v>287</v>
      </c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3"/>
      <c r="R203" s="12"/>
      <c r="S203" s="13"/>
      <c r="T203" s="14"/>
      <c r="U203" s="12"/>
      <c r="V203" s="13"/>
      <c r="W203" s="12"/>
      <c r="X203" s="12"/>
      <c r="Y203" s="12"/>
    </row>
    <row r="204" customFormat="false" ht="15" hidden="false" customHeight="false" outlineLevel="0" collapsed="false">
      <c r="A204" s="11" t="s">
        <v>288</v>
      </c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3"/>
      <c r="R204" s="12"/>
      <c r="S204" s="13"/>
      <c r="T204" s="14"/>
      <c r="U204" s="12"/>
      <c r="V204" s="13"/>
      <c r="W204" s="12"/>
      <c r="X204" s="12"/>
      <c r="Y204" s="12"/>
    </row>
    <row r="205" customFormat="false" ht="15" hidden="false" customHeight="false" outlineLevel="0" collapsed="false">
      <c r="A205" s="11" t="s">
        <v>289</v>
      </c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3"/>
      <c r="R205" s="12"/>
      <c r="S205" s="13"/>
      <c r="T205" s="14"/>
      <c r="U205" s="12"/>
      <c r="V205" s="13"/>
      <c r="W205" s="12"/>
      <c r="X205" s="12"/>
      <c r="Y205" s="12"/>
    </row>
    <row r="206" customFormat="false" ht="15" hidden="false" customHeight="false" outlineLevel="0" collapsed="false">
      <c r="A206" s="11" t="s">
        <v>290</v>
      </c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3"/>
      <c r="R206" s="12"/>
      <c r="S206" s="13"/>
      <c r="T206" s="14"/>
      <c r="U206" s="12"/>
      <c r="V206" s="13"/>
      <c r="W206" s="12"/>
      <c r="X206" s="12"/>
      <c r="Y206" s="12"/>
    </row>
    <row r="207" customFormat="false" ht="15" hidden="false" customHeight="false" outlineLevel="0" collapsed="false">
      <c r="A207" s="11" t="s">
        <v>291</v>
      </c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3"/>
      <c r="R207" s="12"/>
      <c r="S207" s="13"/>
      <c r="T207" s="14"/>
      <c r="U207" s="12"/>
      <c r="V207" s="13"/>
      <c r="W207" s="12"/>
      <c r="X207" s="12"/>
      <c r="Y207" s="12"/>
    </row>
    <row r="208" customFormat="false" ht="15" hidden="false" customHeight="false" outlineLevel="0" collapsed="false">
      <c r="A208" s="11" t="s">
        <v>292</v>
      </c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3"/>
      <c r="R208" s="12"/>
      <c r="S208" s="13"/>
      <c r="T208" s="14"/>
      <c r="U208" s="12"/>
      <c r="V208" s="13"/>
      <c r="W208" s="12"/>
      <c r="X208" s="12"/>
      <c r="Y208" s="12"/>
    </row>
    <row r="209" customFormat="false" ht="15" hidden="false" customHeight="false" outlineLevel="0" collapsed="false">
      <c r="A209" s="11" t="s">
        <v>293</v>
      </c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3"/>
      <c r="R209" s="12"/>
      <c r="S209" s="13"/>
      <c r="T209" s="14"/>
      <c r="U209" s="12"/>
      <c r="V209" s="13"/>
      <c r="W209" s="12"/>
      <c r="X209" s="12"/>
      <c r="Y209" s="12"/>
    </row>
    <row r="210" customFormat="false" ht="15" hidden="false" customHeight="false" outlineLevel="0" collapsed="false">
      <c r="A210" s="11" t="s">
        <v>294</v>
      </c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3"/>
      <c r="R210" s="12"/>
      <c r="S210" s="13"/>
      <c r="T210" s="14"/>
      <c r="U210" s="12"/>
      <c r="V210" s="13"/>
      <c r="W210" s="12"/>
      <c r="X210" s="12"/>
      <c r="Y210" s="12"/>
    </row>
    <row r="211" customFormat="false" ht="15" hidden="false" customHeight="false" outlineLevel="0" collapsed="false">
      <c r="A211" s="11" t="s">
        <v>295</v>
      </c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3"/>
      <c r="R211" s="12"/>
      <c r="S211" s="13"/>
      <c r="T211" s="14"/>
      <c r="U211" s="12"/>
      <c r="V211" s="13"/>
      <c r="W211" s="12"/>
      <c r="X211" s="12"/>
      <c r="Y211" s="12"/>
    </row>
    <row r="212" customFormat="false" ht="15" hidden="false" customHeight="false" outlineLevel="0" collapsed="false">
      <c r="A212" s="11" t="s">
        <v>296</v>
      </c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3"/>
      <c r="R212" s="12"/>
      <c r="S212" s="13"/>
      <c r="T212" s="14"/>
      <c r="U212" s="12"/>
      <c r="V212" s="13"/>
      <c r="W212" s="12"/>
      <c r="X212" s="12"/>
      <c r="Y212" s="12"/>
    </row>
    <row r="213" customFormat="false" ht="15" hidden="false" customHeight="false" outlineLevel="0" collapsed="false">
      <c r="A213" s="11" t="s">
        <v>297</v>
      </c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3"/>
      <c r="R213" s="12"/>
      <c r="S213" s="13"/>
      <c r="T213" s="14"/>
      <c r="U213" s="12"/>
      <c r="V213" s="13"/>
      <c r="W213" s="12"/>
      <c r="X213" s="12"/>
      <c r="Y213" s="12"/>
    </row>
    <row r="214" customFormat="false" ht="15" hidden="false" customHeight="false" outlineLevel="0" collapsed="false">
      <c r="A214" s="11" t="s">
        <v>298</v>
      </c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3"/>
      <c r="R214" s="12"/>
      <c r="S214" s="13"/>
      <c r="T214" s="14"/>
      <c r="U214" s="12"/>
      <c r="V214" s="13"/>
      <c r="W214" s="12"/>
      <c r="X214" s="12"/>
      <c r="Y214" s="12"/>
    </row>
    <row r="215" customFormat="false" ht="15" hidden="false" customHeight="false" outlineLevel="0" collapsed="false">
      <c r="A215" s="11" t="s">
        <v>299</v>
      </c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3"/>
      <c r="R215" s="12"/>
      <c r="S215" s="13"/>
      <c r="T215" s="14"/>
      <c r="U215" s="12"/>
      <c r="V215" s="13"/>
      <c r="W215" s="12"/>
      <c r="X215" s="12"/>
      <c r="Y215" s="12"/>
    </row>
    <row r="216" customFormat="false" ht="15" hidden="false" customHeight="false" outlineLevel="0" collapsed="false">
      <c r="A216" s="11" t="s">
        <v>300</v>
      </c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3"/>
      <c r="R216" s="12"/>
      <c r="S216" s="13"/>
      <c r="T216" s="14"/>
      <c r="U216" s="12"/>
      <c r="V216" s="13"/>
      <c r="W216" s="12"/>
      <c r="X216" s="12"/>
      <c r="Y216" s="12"/>
    </row>
    <row r="217" customFormat="false" ht="15" hidden="false" customHeight="false" outlineLevel="0" collapsed="false">
      <c r="A217" s="11" t="s">
        <v>301</v>
      </c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3"/>
      <c r="R217" s="12"/>
      <c r="S217" s="13"/>
      <c r="T217" s="14"/>
      <c r="U217" s="12"/>
      <c r="V217" s="13"/>
      <c r="W217" s="12"/>
      <c r="X217" s="12"/>
      <c r="Y217" s="12"/>
    </row>
    <row r="218" customFormat="false" ht="15" hidden="false" customHeight="false" outlineLevel="0" collapsed="false">
      <c r="A218" s="11" t="s">
        <v>302</v>
      </c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3"/>
      <c r="R218" s="12"/>
      <c r="S218" s="13"/>
      <c r="T218" s="14"/>
      <c r="U218" s="12"/>
      <c r="V218" s="13"/>
      <c r="W218" s="12"/>
      <c r="X218" s="12"/>
      <c r="Y218" s="12"/>
    </row>
    <row r="219" customFormat="false" ht="15" hidden="false" customHeight="false" outlineLevel="0" collapsed="false">
      <c r="A219" s="11" t="s">
        <v>303</v>
      </c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3"/>
      <c r="R219" s="12"/>
      <c r="S219" s="13"/>
      <c r="T219" s="14"/>
      <c r="U219" s="12"/>
      <c r="V219" s="13"/>
      <c r="W219" s="12"/>
      <c r="X219" s="12"/>
      <c r="Y219" s="12"/>
    </row>
    <row r="220" customFormat="false" ht="15" hidden="false" customHeight="false" outlineLevel="0" collapsed="false">
      <c r="A220" s="11" t="s">
        <v>304</v>
      </c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3"/>
      <c r="R220" s="12"/>
      <c r="S220" s="13"/>
      <c r="T220" s="14"/>
      <c r="U220" s="12"/>
      <c r="V220" s="13"/>
      <c r="W220" s="12"/>
      <c r="X220" s="12"/>
      <c r="Y220" s="12"/>
    </row>
    <row r="221" customFormat="false" ht="15" hidden="false" customHeight="false" outlineLevel="0" collapsed="false">
      <c r="A221" s="11" t="s">
        <v>305</v>
      </c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3"/>
      <c r="R221" s="12"/>
      <c r="S221" s="13"/>
      <c r="T221" s="14"/>
      <c r="U221" s="12"/>
      <c r="V221" s="13"/>
      <c r="W221" s="12"/>
      <c r="X221" s="12"/>
      <c r="Y221" s="12"/>
    </row>
    <row r="222" customFormat="false" ht="15" hidden="false" customHeight="false" outlineLevel="0" collapsed="false">
      <c r="A222" s="11" t="s">
        <v>306</v>
      </c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3"/>
      <c r="R222" s="12"/>
      <c r="S222" s="13"/>
      <c r="T222" s="14"/>
      <c r="U222" s="12"/>
      <c r="V222" s="13"/>
      <c r="W222" s="12"/>
      <c r="X222" s="12"/>
      <c r="Y222" s="12"/>
    </row>
    <row r="223" customFormat="false" ht="15" hidden="false" customHeight="false" outlineLevel="0" collapsed="false">
      <c r="A223" s="11" t="s">
        <v>307</v>
      </c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3"/>
      <c r="R223" s="12"/>
      <c r="S223" s="13"/>
      <c r="T223" s="14"/>
      <c r="U223" s="12"/>
      <c r="V223" s="13"/>
      <c r="W223" s="12"/>
      <c r="X223" s="12"/>
      <c r="Y223" s="12"/>
    </row>
    <row r="224" customFormat="false" ht="15" hidden="false" customHeight="false" outlineLevel="0" collapsed="false">
      <c r="A224" s="11" t="s">
        <v>308</v>
      </c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3"/>
      <c r="R224" s="12"/>
      <c r="S224" s="13"/>
      <c r="T224" s="14"/>
      <c r="U224" s="12"/>
      <c r="V224" s="13"/>
      <c r="W224" s="12"/>
      <c r="X224" s="12"/>
      <c r="Y224" s="12"/>
    </row>
    <row r="225" customFormat="false" ht="15" hidden="false" customHeight="false" outlineLevel="0" collapsed="false">
      <c r="A225" s="11" t="s">
        <v>309</v>
      </c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3"/>
      <c r="R225" s="12"/>
      <c r="S225" s="13"/>
      <c r="T225" s="14"/>
      <c r="U225" s="12"/>
      <c r="V225" s="13"/>
      <c r="W225" s="12"/>
      <c r="X225" s="12"/>
      <c r="Y225" s="12"/>
    </row>
    <row r="226" customFormat="false" ht="15" hidden="false" customHeight="false" outlineLevel="0" collapsed="false">
      <c r="A226" s="11" t="s">
        <v>310</v>
      </c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3"/>
      <c r="R226" s="12"/>
      <c r="S226" s="13"/>
      <c r="T226" s="14"/>
      <c r="U226" s="12"/>
      <c r="V226" s="13"/>
      <c r="W226" s="12"/>
      <c r="X226" s="12"/>
      <c r="Y226" s="12"/>
    </row>
    <row r="227" customFormat="false" ht="15" hidden="false" customHeight="false" outlineLevel="0" collapsed="false">
      <c r="A227" s="11" t="s">
        <v>311</v>
      </c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3"/>
      <c r="R227" s="12"/>
      <c r="S227" s="13"/>
      <c r="T227" s="14"/>
      <c r="U227" s="12"/>
      <c r="V227" s="13"/>
      <c r="W227" s="12"/>
      <c r="X227" s="12"/>
      <c r="Y227" s="12"/>
    </row>
    <row r="228" customFormat="false" ht="15" hidden="false" customHeight="false" outlineLevel="0" collapsed="false">
      <c r="A228" s="11" t="s">
        <v>312</v>
      </c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3"/>
      <c r="R228" s="12"/>
      <c r="S228" s="13"/>
      <c r="T228" s="14"/>
      <c r="U228" s="12"/>
      <c r="V228" s="13"/>
      <c r="W228" s="12"/>
      <c r="X228" s="12"/>
      <c r="Y228" s="12"/>
    </row>
    <row r="229" customFormat="false" ht="15" hidden="false" customHeight="false" outlineLevel="0" collapsed="false">
      <c r="A229" s="11" t="s">
        <v>313</v>
      </c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3"/>
      <c r="R229" s="12"/>
      <c r="S229" s="13"/>
      <c r="T229" s="14"/>
      <c r="U229" s="12"/>
      <c r="V229" s="13"/>
      <c r="W229" s="12"/>
      <c r="X229" s="12"/>
      <c r="Y229" s="12"/>
    </row>
    <row r="230" customFormat="false" ht="15" hidden="false" customHeight="false" outlineLevel="0" collapsed="false">
      <c r="A230" s="11" t="s">
        <v>314</v>
      </c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3"/>
      <c r="R230" s="12"/>
      <c r="S230" s="13"/>
      <c r="T230" s="14"/>
      <c r="U230" s="12"/>
      <c r="V230" s="13"/>
      <c r="W230" s="12"/>
      <c r="X230" s="12"/>
      <c r="Y230" s="12"/>
    </row>
    <row r="231" customFormat="false" ht="15" hidden="false" customHeight="false" outlineLevel="0" collapsed="false">
      <c r="A231" s="11" t="s">
        <v>315</v>
      </c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3"/>
      <c r="R231" s="12"/>
      <c r="S231" s="13"/>
      <c r="T231" s="14"/>
      <c r="U231" s="12"/>
      <c r="V231" s="13"/>
      <c r="W231" s="12"/>
      <c r="X231" s="12"/>
      <c r="Y231" s="12"/>
    </row>
    <row r="232" customFormat="false" ht="15" hidden="false" customHeight="false" outlineLevel="0" collapsed="false">
      <c r="A232" s="11" t="s">
        <v>316</v>
      </c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3"/>
      <c r="R232" s="12"/>
      <c r="S232" s="13"/>
      <c r="T232" s="14"/>
      <c r="U232" s="12"/>
      <c r="V232" s="13"/>
      <c r="W232" s="12"/>
      <c r="X232" s="12"/>
      <c r="Y232" s="12"/>
    </row>
    <row r="233" customFormat="false" ht="15" hidden="false" customHeight="false" outlineLevel="0" collapsed="false">
      <c r="A233" s="11" t="s">
        <v>317</v>
      </c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3"/>
      <c r="R233" s="12"/>
      <c r="S233" s="13"/>
      <c r="T233" s="14"/>
      <c r="U233" s="12"/>
      <c r="V233" s="13"/>
      <c r="W233" s="12"/>
      <c r="X233" s="12"/>
      <c r="Y233" s="12"/>
    </row>
    <row r="234" customFormat="false" ht="15" hidden="false" customHeight="false" outlineLevel="0" collapsed="false">
      <c r="A234" s="11" t="s">
        <v>318</v>
      </c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3"/>
      <c r="R234" s="12"/>
      <c r="S234" s="13"/>
      <c r="T234" s="14"/>
      <c r="U234" s="12"/>
      <c r="V234" s="13"/>
      <c r="W234" s="12"/>
      <c r="X234" s="12"/>
      <c r="Y234" s="12"/>
    </row>
    <row r="235" customFormat="false" ht="15" hidden="false" customHeight="false" outlineLevel="0" collapsed="false">
      <c r="A235" s="11" t="s">
        <v>319</v>
      </c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3"/>
      <c r="R235" s="12"/>
      <c r="S235" s="13"/>
      <c r="T235" s="14"/>
      <c r="U235" s="12"/>
      <c r="V235" s="13"/>
      <c r="W235" s="12"/>
      <c r="X235" s="12"/>
      <c r="Y235" s="12"/>
    </row>
    <row r="236" customFormat="false" ht="15" hidden="false" customHeight="false" outlineLevel="0" collapsed="false">
      <c r="A236" s="11" t="s">
        <v>320</v>
      </c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3"/>
      <c r="R236" s="12"/>
      <c r="S236" s="13"/>
      <c r="T236" s="14"/>
      <c r="U236" s="12"/>
      <c r="V236" s="13"/>
      <c r="W236" s="12"/>
      <c r="X236" s="12"/>
      <c r="Y236" s="12"/>
    </row>
    <row r="237" customFormat="false" ht="15" hidden="false" customHeight="false" outlineLevel="0" collapsed="false">
      <c r="A237" s="11" t="s">
        <v>321</v>
      </c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3"/>
      <c r="R237" s="12"/>
      <c r="S237" s="13"/>
      <c r="T237" s="14"/>
      <c r="U237" s="12"/>
      <c r="V237" s="13"/>
      <c r="W237" s="12"/>
      <c r="X237" s="12"/>
      <c r="Y237" s="12"/>
    </row>
    <row r="238" customFormat="false" ht="15" hidden="false" customHeight="false" outlineLevel="0" collapsed="false">
      <c r="A238" s="11" t="s">
        <v>322</v>
      </c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3"/>
      <c r="R238" s="12"/>
      <c r="S238" s="13"/>
      <c r="T238" s="14"/>
      <c r="U238" s="12"/>
      <c r="V238" s="13"/>
      <c r="W238" s="12"/>
      <c r="X238" s="12"/>
      <c r="Y238" s="12"/>
    </row>
    <row r="239" customFormat="false" ht="15" hidden="false" customHeight="false" outlineLevel="0" collapsed="false">
      <c r="A239" s="11" t="s">
        <v>323</v>
      </c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3"/>
      <c r="R239" s="12"/>
      <c r="S239" s="13"/>
      <c r="T239" s="14"/>
      <c r="U239" s="12"/>
      <c r="V239" s="13"/>
      <c r="W239" s="12"/>
      <c r="X239" s="12"/>
      <c r="Y239" s="12"/>
    </row>
    <row r="240" customFormat="false" ht="15" hidden="false" customHeight="false" outlineLevel="0" collapsed="false">
      <c r="A240" s="11" t="s">
        <v>324</v>
      </c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3"/>
      <c r="R240" s="12"/>
      <c r="S240" s="13"/>
      <c r="T240" s="14"/>
      <c r="U240" s="12"/>
      <c r="V240" s="13"/>
      <c r="W240" s="12"/>
      <c r="X240" s="12"/>
      <c r="Y240" s="12"/>
    </row>
    <row r="241" customFormat="false" ht="15" hidden="false" customHeight="false" outlineLevel="0" collapsed="false">
      <c r="A241" s="11" t="s">
        <v>325</v>
      </c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3"/>
      <c r="R241" s="12"/>
      <c r="S241" s="13"/>
      <c r="T241" s="14"/>
      <c r="U241" s="12"/>
      <c r="V241" s="13"/>
      <c r="W241" s="12"/>
      <c r="X241" s="12"/>
      <c r="Y241" s="12"/>
    </row>
    <row r="242" customFormat="false" ht="15" hidden="false" customHeight="false" outlineLevel="0" collapsed="false">
      <c r="A242" s="11" t="s">
        <v>326</v>
      </c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3"/>
      <c r="R242" s="12"/>
      <c r="S242" s="13"/>
      <c r="T242" s="14"/>
      <c r="U242" s="12"/>
      <c r="V242" s="13"/>
      <c r="W242" s="12"/>
      <c r="X242" s="12"/>
      <c r="Y242" s="12"/>
    </row>
    <row r="243" customFormat="false" ht="15" hidden="false" customHeight="false" outlineLevel="0" collapsed="false">
      <c r="A243" s="11" t="s">
        <v>327</v>
      </c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3"/>
      <c r="R243" s="12"/>
      <c r="S243" s="13"/>
      <c r="T243" s="14"/>
      <c r="U243" s="12"/>
      <c r="V243" s="13"/>
      <c r="W243" s="12"/>
      <c r="X243" s="12"/>
      <c r="Y243" s="12"/>
    </row>
    <row r="244" customFormat="false" ht="15" hidden="false" customHeight="false" outlineLevel="0" collapsed="false">
      <c r="A244" s="11" t="s">
        <v>328</v>
      </c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3"/>
      <c r="R244" s="12"/>
      <c r="S244" s="13"/>
      <c r="T244" s="14"/>
      <c r="U244" s="12"/>
      <c r="V244" s="13"/>
      <c r="W244" s="12"/>
      <c r="X244" s="12"/>
      <c r="Y244" s="12"/>
    </row>
    <row r="245" customFormat="false" ht="15" hidden="false" customHeight="false" outlineLevel="0" collapsed="false">
      <c r="A245" s="11" t="s">
        <v>329</v>
      </c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3"/>
      <c r="R245" s="12"/>
      <c r="S245" s="13"/>
      <c r="T245" s="14"/>
      <c r="U245" s="12"/>
      <c r="V245" s="13"/>
      <c r="W245" s="12"/>
      <c r="X245" s="12"/>
      <c r="Y245" s="12"/>
    </row>
    <row r="246" customFormat="false" ht="15" hidden="false" customHeight="false" outlineLevel="0" collapsed="false">
      <c r="A246" s="11" t="s">
        <v>330</v>
      </c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3"/>
      <c r="R246" s="12"/>
      <c r="S246" s="13"/>
      <c r="T246" s="14"/>
      <c r="U246" s="12"/>
      <c r="V246" s="13"/>
      <c r="W246" s="12"/>
      <c r="X246" s="12"/>
      <c r="Y246" s="12"/>
    </row>
    <row r="247" customFormat="false" ht="15" hidden="false" customHeight="false" outlineLevel="0" collapsed="false">
      <c r="A247" s="11" t="s">
        <v>331</v>
      </c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3"/>
      <c r="R247" s="12"/>
      <c r="S247" s="13"/>
      <c r="T247" s="14"/>
      <c r="U247" s="12"/>
      <c r="V247" s="13"/>
      <c r="W247" s="12"/>
      <c r="X247" s="12"/>
      <c r="Y247" s="12"/>
    </row>
    <row r="248" customFormat="false" ht="15" hidden="false" customHeight="false" outlineLevel="0" collapsed="false">
      <c r="A248" s="11" t="s">
        <v>332</v>
      </c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3"/>
      <c r="R248" s="12"/>
      <c r="S248" s="13"/>
      <c r="T248" s="14"/>
      <c r="U248" s="12"/>
      <c r="V248" s="13"/>
      <c r="W248" s="12"/>
      <c r="X248" s="12"/>
      <c r="Y248" s="12"/>
    </row>
    <row r="249" customFormat="false" ht="15" hidden="false" customHeight="false" outlineLevel="0" collapsed="false">
      <c r="A249" s="11" t="s">
        <v>333</v>
      </c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3"/>
      <c r="R249" s="12"/>
      <c r="S249" s="13"/>
      <c r="T249" s="14"/>
      <c r="U249" s="12"/>
      <c r="V249" s="13"/>
      <c r="W249" s="12"/>
      <c r="X249" s="12"/>
      <c r="Y249" s="12"/>
    </row>
    <row r="250" customFormat="false" ht="15" hidden="false" customHeight="false" outlineLevel="0" collapsed="false">
      <c r="A250" s="11" t="s">
        <v>334</v>
      </c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3"/>
      <c r="R250" s="12"/>
      <c r="S250" s="13"/>
      <c r="T250" s="14"/>
      <c r="U250" s="12"/>
      <c r="V250" s="13"/>
      <c r="W250" s="12"/>
      <c r="X250" s="12"/>
      <c r="Y250" s="12"/>
    </row>
    <row r="251" customFormat="false" ht="15" hidden="false" customHeight="false" outlineLevel="0" collapsed="false">
      <c r="A251" s="11" t="s">
        <v>335</v>
      </c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3"/>
      <c r="R251" s="12"/>
      <c r="S251" s="13"/>
      <c r="T251" s="14"/>
      <c r="U251" s="12"/>
      <c r="V251" s="13"/>
      <c r="W251" s="12"/>
      <c r="X251" s="12"/>
      <c r="Y251" s="12"/>
    </row>
    <row r="252" customFormat="false" ht="15" hidden="false" customHeight="false" outlineLevel="0" collapsed="false">
      <c r="A252" s="11" t="s">
        <v>336</v>
      </c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3"/>
      <c r="R252" s="12"/>
      <c r="S252" s="13"/>
      <c r="T252" s="14"/>
      <c r="U252" s="12"/>
      <c r="V252" s="13"/>
      <c r="W252" s="12"/>
      <c r="X252" s="12"/>
      <c r="Y252" s="12"/>
    </row>
    <row r="253" customFormat="false" ht="15" hidden="false" customHeight="false" outlineLevel="0" collapsed="false">
      <c r="A253" s="11" t="s">
        <v>337</v>
      </c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3"/>
      <c r="R253" s="12"/>
      <c r="S253" s="13"/>
      <c r="T253" s="14"/>
      <c r="U253" s="12"/>
      <c r="V253" s="13"/>
      <c r="W253" s="12"/>
      <c r="X253" s="12"/>
      <c r="Y253" s="12"/>
    </row>
    <row r="254" customFormat="false" ht="15" hidden="false" customHeight="false" outlineLevel="0" collapsed="false">
      <c r="A254" s="11" t="s">
        <v>338</v>
      </c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3"/>
      <c r="R254" s="12"/>
      <c r="S254" s="13"/>
      <c r="T254" s="14"/>
      <c r="U254" s="12"/>
      <c r="V254" s="13"/>
      <c r="W254" s="12"/>
      <c r="X254" s="12"/>
      <c r="Y254" s="12"/>
    </row>
    <row r="255" customFormat="false" ht="15" hidden="false" customHeight="false" outlineLevel="0" collapsed="false">
      <c r="A255" s="11" t="s">
        <v>339</v>
      </c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3"/>
      <c r="R255" s="12"/>
      <c r="S255" s="13"/>
      <c r="T255" s="14"/>
      <c r="U255" s="12"/>
      <c r="V255" s="13"/>
      <c r="W255" s="12"/>
      <c r="X255" s="12"/>
      <c r="Y255" s="12"/>
    </row>
    <row r="256" customFormat="false" ht="15" hidden="false" customHeight="false" outlineLevel="0" collapsed="false">
      <c r="A256" s="11" t="s">
        <v>340</v>
      </c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3"/>
      <c r="R256" s="12"/>
      <c r="S256" s="13"/>
      <c r="T256" s="14"/>
      <c r="U256" s="12"/>
      <c r="V256" s="13"/>
      <c r="W256" s="12"/>
      <c r="X256" s="12"/>
      <c r="Y256" s="12"/>
    </row>
    <row r="257" customFormat="false" ht="15" hidden="false" customHeight="false" outlineLevel="0" collapsed="false">
      <c r="A257" s="11" t="s">
        <v>341</v>
      </c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3"/>
      <c r="R257" s="12"/>
      <c r="S257" s="13"/>
      <c r="T257" s="14"/>
      <c r="U257" s="12"/>
      <c r="V257" s="13"/>
      <c r="W257" s="12"/>
      <c r="X257" s="12"/>
      <c r="Y257" s="12"/>
    </row>
    <row r="258" customFormat="false" ht="15" hidden="false" customHeight="false" outlineLevel="0" collapsed="false">
      <c r="A258" s="11" t="s">
        <v>342</v>
      </c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3"/>
      <c r="R258" s="12"/>
      <c r="S258" s="13"/>
      <c r="T258" s="14"/>
      <c r="U258" s="12"/>
      <c r="V258" s="13"/>
      <c r="W258" s="12"/>
      <c r="X258" s="12"/>
      <c r="Y258" s="12"/>
    </row>
    <row r="259" customFormat="false" ht="15" hidden="false" customHeight="false" outlineLevel="0" collapsed="false">
      <c r="A259" s="11" t="s">
        <v>343</v>
      </c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3"/>
      <c r="R259" s="12"/>
      <c r="S259" s="13"/>
      <c r="T259" s="14"/>
      <c r="U259" s="12"/>
      <c r="V259" s="13"/>
      <c r="W259" s="12"/>
      <c r="X259" s="12"/>
      <c r="Y259" s="12"/>
    </row>
    <row r="260" customFormat="false" ht="15" hidden="false" customHeight="false" outlineLevel="0" collapsed="false">
      <c r="A260" s="11" t="s">
        <v>344</v>
      </c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3"/>
      <c r="R260" s="12"/>
      <c r="S260" s="13"/>
      <c r="T260" s="14"/>
      <c r="U260" s="12"/>
      <c r="V260" s="13"/>
      <c r="W260" s="12"/>
      <c r="X260" s="12"/>
      <c r="Y260" s="12"/>
    </row>
    <row r="261" customFormat="false" ht="15" hidden="false" customHeight="false" outlineLevel="0" collapsed="false">
      <c r="A261" s="11" t="s">
        <v>345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3"/>
      <c r="R261" s="12"/>
      <c r="S261" s="13"/>
      <c r="T261" s="14"/>
      <c r="U261" s="12"/>
      <c r="V261" s="13"/>
      <c r="W261" s="12"/>
      <c r="X261" s="12"/>
      <c r="Y261" s="12"/>
    </row>
    <row r="262" customFormat="false" ht="15" hidden="false" customHeight="false" outlineLevel="0" collapsed="false">
      <c r="A262" s="11" t="s">
        <v>346</v>
      </c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3"/>
      <c r="R262" s="12"/>
      <c r="S262" s="13"/>
      <c r="T262" s="14"/>
      <c r="U262" s="12"/>
      <c r="V262" s="13"/>
      <c r="W262" s="12"/>
      <c r="X262" s="12"/>
      <c r="Y262" s="12"/>
    </row>
    <row r="263" customFormat="false" ht="15" hidden="false" customHeight="false" outlineLevel="0" collapsed="false">
      <c r="A263" s="11" t="s">
        <v>347</v>
      </c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3"/>
      <c r="R263" s="12"/>
      <c r="S263" s="13"/>
      <c r="T263" s="14"/>
      <c r="U263" s="12"/>
      <c r="V263" s="13"/>
      <c r="W263" s="12"/>
      <c r="X263" s="12"/>
      <c r="Y263" s="12"/>
    </row>
    <row r="264" customFormat="false" ht="15" hidden="false" customHeight="false" outlineLevel="0" collapsed="false">
      <c r="A264" s="11" t="s">
        <v>348</v>
      </c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3"/>
      <c r="R264" s="12"/>
      <c r="S264" s="13"/>
      <c r="T264" s="14"/>
      <c r="U264" s="12"/>
      <c r="V264" s="13"/>
      <c r="W264" s="12"/>
      <c r="X264" s="12"/>
      <c r="Y264" s="12"/>
    </row>
    <row r="265" customFormat="false" ht="15" hidden="false" customHeight="false" outlineLevel="0" collapsed="false">
      <c r="A265" s="11" t="s">
        <v>349</v>
      </c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3"/>
      <c r="R265" s="12"/>
      <c r="S265" s="13"/>
      <c r="T265" s="14"/>
      <c r="U265" s="12"/>
      <c r="V265" s="13"/>
      <c r="W265" s="12"/>
      <c r="X265" s="12"/>
      <c r="Y265" s="12"/>
    </row>
    <row r="266" customFormat="false" ht="15" hidden="false" customHeight="false" outlineLevel="0" collapsed="false">
      <c r="A266" s="11" t="s">
        <v>350</v>
      </c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3"/>
      <c r="R266" s="12"/>
      <c r="S266" s="13"/>
      <c r="T266" s="14"/>
      <c r="U266" s="12"/>
      <c r="V266" s="13"/>
      <c r="W266" s="12"/>
      <c r="X266" s="12"/>
      <c r="Y266" s="12"/>
    </row>
    <row r="267" customFormat="false" ht="15" hidden="false" customHeight="false" outlineLevel="0" collapsed="false">
      <c r="A267" s="11" t="s">
        <v>351</v>
      </c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3"/>
      <c r="R267" s="12"/>
      <c r="S267" s="13"/>
      <c r="T267" s="14"/>
      <c r="U267" s="12"/>
      <c r="V267" s="13"/>
      <c r="W267" s="12"/>
      <c r="X267" s="12"/>
      <c r="Y267" s="12"/>
    </row>
    <row r="268" customFormat="false" ht="15" hidden="false" customHeight="false" outlineLevel="0" collapsed="false">
      <c r="A268" s="11" t="s">
        <v>352</v>
      </c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3"/>
      <c r="R268" s="12"/>
      <c r="S268" s="13"/>
      <c r="T268" s="14"/>
      <c r="U268" s="12"/>
      <c r="V268" s="13"/>
      <c r="W268" s="12"/>
      <c r="X268" s="12"/>
      <c r="Y268" s="12"/>
    </row>
    <row r="269" customFormat="false" ht="15" hidden="false" customHeight="false" outlineLevel="0" collapsed="false">
      <c r="A269" s="11" t="s">
        <v>353</v>
      </c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3"/>
      <c r="R269" s="12"/>
      <c r="S269" s="13"/>
      <c r="T269" s="14"/>
      <c r="U269" s="12"/>
      <c r="V269" s="13"/>
      <c r="W269" s="12"/>
      <c r="X269" s="12"/>
      <c r="Y269" s="12"/>
    </row>
    <row r="270" customFormat="false" ht="15" hidden="false" customHeight="false" outlineLevel="0" collapsed="false">
      <c r="A270" s="11" t="s">
        <v>354</v>
      </c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3"/>
      <c r="R270" s="12"/>
      <c r="S270" s="13"/>
      <c r="T270" s="14"/>
      <c r="U270" s="12"/>
      <c r="V270" s="13"/>
      <c r="W270" s="12"/>
      <c r="X270" s="12"/>
      <c r="Y270" s="12"/>
    </row>
    <row r="271" customFormat="false" ht="15" hidden="false" customHeight="false" outlineLevel="0" collapsed="false">
      <c r="A271" s="11" t="s">
        <v>355</v>
      </c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3"/>
      <c r="R271" s="12"/>
      <c r="S271" s="13"/>
      <c r="T271" s="14"/>
      <c r="U271" s="12"/>
      <c r="V271" s="13"/>
      <c r="W271" s="12"/>
      <c r="X271" s="12"/>
      <c r="Y271" s="12"/>
    </row>
    <row r="272" customFormat="false" ht="15" hidden="false" customHeight="false" outlineLevel="0" collapsed="false">
      <c r="A272" s="11" t="s">
        <v>356</v>
      </c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3"/>
      <c r="R272" s="12"/>
      <c r="S272" s="13"/>
      <c r="T272" s="14"/>
      <c r="U272" s="12"/>
      <c r="V272" s="13"/>
      <c r="W272" s="12"/>
      <c r="X272" s="12"/>
      <c r="Y272" s="12"/>
    </row>
    <row r="273" customFormat="false" ht="15" hidden="false" customHeight="false" outlineLevel="0" collapsed="false">
      <c r="A273" s="11" t="s">
        <v>357</v>
      </c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3"/>
      <c r="R273" s="12"/>
      <c r="S273" s="13"/>
      <c r="T273" s="14"/>
      <c r="U273" s="12"/>
      <c r="V273" s="13"/>
      <c r="W273" s="12"/>
      <c r="X273" s="12"/>
      <c r="Y273" s="12"/>
    </row>
    <row r="274" customFormat="false" ht="15" hidden="false" customHeight="false" outlineLevel="0" collapsed="false">
      <c r="A274" s="11" t="s">
        <v>358</v>
      </c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3"/>
      <c r="R274" s="12"/>
      <c r="S274" s="13"/>
      <c r="T274" s="14"/>
      <c r="U274" s="12"/>
      <c r="V274" s="13"/>
      <c r="W274" s="12"/>
      <c r="X274" s="12"/>
      <c r="Y274" s="12"/>
    </row>
    <row r="275" customFormat="false" ht="15" hidden="false" customHeight="false" outlineLevel="0" collapsed="false">
      <c r="A275" s="11" t="s">
        <v>359</v>
      </c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3"/>
      <c r="R275" s="12"/>
      <c r="S275" s="13"/>
      <c r="T275" s="14"/>
      <c r="U275" s="12"/>
      <c r="V275" s="13"/>
      <c r="W275" s="12"/>
      <c r="X275" s="12"/>
      <c r="Y275" s="12"/>
    </row>
    <row r="276" customFormat="false" ht="15" hidden="false" customHeight="false" outlineLevel="0" collapsed="false">
      <c r="A276" s="11" t="s">
        <v>360</v>
      </c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3"/>
      <c r="R276" s="12"/>
      <c r="S276" s="13"/>
      <c r="T276" s="14"/>
      <c r="U276" s="12"/>
      <c r="V276" s="13"/>
      <c r="W276" s="12"/>
      <c r="X276" s="12"/>
      <c r="Y276" s="12"/>
    </row>
    <row r="277" customFormat="false" ht="15" hidden="false" customHeight="false" outlineLevel="0" collapsed="false">
      <c r="A277" s="11" t="s">
        <v>361</v>
      </c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3"/>
      <c r="R277" s="12"/>
      <c r="S277" s="13"/>
      <c r="T277" s="14"/>
      <c r="U277" s="12"/>
      <c r="V277" s="13"/>
      <c r="W277" s="12"/>
      <c r="X277" s="12"/>
      <c r="Y277" s="12"/>
    </row>
    <row r="278" customFormat="false" ht="15" hidden="false" customHeight="false" outlineLevel="0" collapsed="false">
      <c r="A278" s="11" t="s">
        <v>362</v>
      </c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3"/>
      <c r="R278" s="12"/>
      <c r="S278" s="13"/>
      <c r="T278" s="14"/>
      <c r="U278" s="12"/>
      <c r="V278" s="13"/>
      <c r="W278" s="12"/>
      <c r="X278" s="12"/>
      <c r="Y278" s="12"/>
    </row>
    <row r="279" customFormat="false" ht="15" hidden="false" customHeight="false" outlineLevel="0" collapsed="false">
      <c r="A279" s="11" t="s">
        <v>363</v>
      </c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3"/>
      <c r="R279" s="12"/>
      <c r="S279" s="13"/>
      <c r="T279" s="14"/>
      <c r="U279" s="12"/>
      <c r="V279" s="13"/>
      <c r="W279" s="12"/>
      <c r="X279" s="12"/>
      <c r="Y279" s="12"/>
    </row>
    <row r="280" customFormat="false" ht="15" hidden="false" customHeight="false" outlineLevel="0" collapsed="false">
      <c r="A280" s="11" t="s">
        <v>364</v>
      </c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3"/>
      <c r="R280" s="12"/>
      <c r="S280" s="13"/>
      <c r="T280" s="14"/>
      <c r="U280" s="12"/>
      <c r="V280" s="13"/>
      <c r="W280" s="12"/>
      <c r="X280" s="12"/>
      <c r="Y280" s="12"/>
    </row>
    <row r="281" customFormat="false" ht="15" hidden="false" customHeight="false" outlineLevel="0" collapsed="false">
      <c r="A281" s="11" t="s">
        <v>365</v>
      </c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3"/>
      <c r="R281" s="12"/>
      <c r="S281" s="13"/>
      <c r="T281" s="14"/>
      <c r="U281" s="12"/>
      <c r="V281" s="13"/>
      <c r="W281" s="12"/>
      <c r="X281" s="12"/>
      <c r="Y281" s="12"/>
    </row>
    <row r="282" customFormat="false" ht="15" hidden="false" customHeight="false" outlineLevel="0" collapsed="false">
      <c r="A282" s="11" t="s">
        <v>366</v>
      </c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3"/>
      <c r="R282" s="12"/>
      <c r="S282" s="13"/>
      <c r="T282" s="14"/>
      <c r="U282" s="12"/>
      <c r="V282" s="13"/>
      <c r="W282" s="12"/>
      <c r="X282" s="12"/>
      <c r="Y282" s="12"/>
    </row>
    <row r="283" customFormat="false" ht="15" hidden="false" customHeight="false" outlineLevel="0" collapsed="false">
      <c r="A283" s="11" t="s">
        <v>367</v>
      </c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3"/>
      <c r="R283" s="12"/>
      <c r="S283" s="13"/>
      <c r="T283" s="14"/>
      <c r="U283" s="12"/>
      <c r="V283" s="13"/>
      <c r="W283" s="12"/>
      <c r="X283" s="12"/>
      <c r="Y283" s="12"/>
    </row>
    <row r="284" customFormat="false" ht="15" hidden="false" customHeight="false" outlineLevel="0" collapsed="false">
      <c r="A284" s="11" t="s">
        <v>368</v>
      </c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3"/>
      <c r="R284" s="12"/>
      <c r="S284" s="13"/>
      <c r="T284" s="14"/>
      <c r="U284" s="12"/>
      <c r="V284" s="13"/>
      <c r="W284" s="12"/>
      <c r="X284" s="12"/>
      <c r="Y284" s="12"/>
    </row>
    <row r="285" customFormat="false" ht="15" hidden="false" customHeight="false" outlineLevel="0" collapsed="false">
      <c r="A285" s="11" t="s">
        <v>369</v>
      </c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3"/>
      <c r="R285" s="12"/>
      <c r="S285" s="13"/>
      <c r="T285" s="14"/>
      <c r="U285" s="12"/>
      <c r="V285" s="13"/>
      <c r="W285" s="12"/>
      <c r="X285" s="12"/>
      <c r="Y285" s="12"/>
    </row>
    <row r="286" customFormat="false" ht="15" hidden="false" customHeight="false" outlineLevel="0" collapsed="false">
      <c r="A286" s="11" t="s">
        <v>370</v>
      </c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3"/>
      <c r="R286" s="12"/>
      <c r="S286" s="13"/>
      <c r="T286" s="14"/>
      <c r="U286" s="12"/>
      <c r="V286" s="13"/>
      <c r="W286" s="12"/>
      <c r="X286" s="12"/>
      <c r="Y286" s="12"/>
    </row>
    <row r="287" customFormat="false" ht="15" hidden="false" customHeight="false" outlineLevel="0" collapsed="false">
      <c r="A287" s="11" t="s">
        <v>371</v>
      </c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3"/>
      <c r="R287" s="12"/>
      <c r="S287" s="13"/>
      <c r="T287" s="14"/>
      <c r="U287" s="12"/>
      <c r="V287" s="13"/>
      <c r="W287" s="12"/>
      <c r="X287" s="12"/>
      <c r="Y287" s="12"/>
    </row>
    <row r="288" customFormat="false" ht="15" hidden="false" customHeight="false" outlineLevel="0" collapsed="false">
      <c r="A288" s="11" t="s">
        <v>372</v>
      </c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3"/>
      <c r="R288" s="12"/>
      <c r="S288" s="13"/>
      <c r="T288" s="14"/>
      <c r="U288" s="12"/>
      <c r="V288" s="13"/>
      <c r="W288" s="12"/>
      <c r="X288" s="12"/>
      <c r="Y288" s="12"/>
    </row>
    <row r="289" customFormat="false" ht="15" hidden="false" customHeight="false" outlineLevel="0" collapsed="false">
      <c r="A289" s="11" t="s">
        <v>373</v>
      </c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3"/>
      <c r="R289" s="12"/>
      <c r="S289" s="13"/>
      <c r="T289" s="14"/>
      <c r="U289" s="12"/>
      <c r="V289" s="13"/>
      <c r="W289" s="12"/>
      <c r="X289" s="12"/>
      <c r="Y289" s="12"/>
    </row>
    <row r="290" customFormat="false" ht="15" hidden="false" customHeight="false" outlineLevel="0" collapsed="false">
      <c r="A290" s="11" t="s">
        <v>374</v>
      </c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3"/>
      <c r="R290" s="12"/>
      <c r="S290" s="13"/>
      <c r="T290" s="14"/>
      <c r="U290" s="12"/>
      <c r="V290" s="13"/>
      <c r="W290" s="12"/>
      <c r="X290" s="12"/>
      <c r="Y290" s="12"/>
    </row>
    <row r="291" customFormat="false" ht="15" hidden="false" customHeight="false" outlineLevel="0" collapsed="false">
      <c r="A291" s="11" t="s">
        <v>375</v>
      </c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3"/>
      <c r="R291" s="12"/>
      <c r="S291" s="13"/>
      <c r="T291" s="14"/>
      <c r="U291" s="12"/>
      <c r="V291" s="13"/>
      <c r="W291" s="12"/>
      <c r="X291" s="12"/>
      <c r="Y291" s="12"/>
    </row>
    <row r="292" customFormat="false" ht="15" hidden="false" customHeight="false" outlineLevel="0" collapsed="false">
      <c r="A292" s="11" t="s">
        <v>376</v>
      </c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3"/>
      <c r="R292" s="12"/>
      <c r="S292" s="13"/>
      <c r="T292" s="14"/>
      <c r="U292" s="12"/>
      <c r="V292" s="13"/>
      <c r="W292" s="12"/>
      <c r="X292" s="12"/>
      <c r="Y292" s="12"/>
    </row>
    <row r="293" customFormat="false" ht="15" hidden="false" customHeight="false" outlineLevel="0" collapsed="false">
      <c r="A293" s="11" t="s">
        <v>377</v>
      </c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3"/>
      <c r="R293" s="12"/>
      <c r="S293" s="13"/>
      <c r="T293" s="14"/>
      <c r="U293" s="12"/>
      <c r="V293" s="13"/>
      <c r="W293" s="12"/>
      <c r="X293" s="12"/>
      <c r="Y293" s="12"/>
    </row>
    <row r="294" customFormat="false" ht="15" hidden="false" customHeight="false" outlineLevel="0" collapsed="false">
      <c r="A294" s="11" t="s">
        <v>378</v>
      </c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3"/>
      <c r="R294" s="12"/>
      <c r="S294" s="13"/>
      <c r="T294" s="14"/>
      <c r="U294" s="12"/>
      <c r="V294" s="13"/>
      <c r="W294" s="12"/>
      <c r="X294" s="12"/>
      <c r="Y294" s="12"/>
    </row>
    <row r="295" customFormat="false" ht="15" hidden="false" customHeight="false" outlineLevel="0" collapsed="false">
      <c r="A295" s="11" t="s">
        <v>379</v>
      </c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3"/>
      <c r="R295" s="12"/>
      <c r="S295" s="13"/>
      <c r="T295" s="14"/>
      <c r="U295" s="12"/>
      <c r="V295" s="13"/>
      <c r="W295" s="12"/>
      <c r="X295" s="12"/>
      <c r="Y295" s="12"/>
    </row>
    <row r="296" customFormat="false" ht="15" hidden="false" customHeight="false" outlineLevel="0" collapsed="false">
      <c r="A296" s="11" t="s">
        <v>380</v>
      </c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3"/>
      <c r="R296" s="12"/>
      <c r="S296" s="13"/>
      <c r="T296" s="14"/>
      <c r="U296" s="12"/>
      <c r="V296" s="13"/>
      <c r="W296" s="12"/>
      <c r="X296" s="12"/>
      <c r="Y296" s="12"/>
    </row>
    <row r="297" customFormat="false" ht="15" hidden="false" customHeight="false" outlineLevel="0" collapsed="false">
      <c r="A297" s="11" t="s">
        <v>381</v>
      </c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3"/>
      <c r="R297" s="12"/>
      <c r="S297" s="13"/>
      <c r="T297" s="14"/>
      <c r="U297" s="12"/>
      <c r="V297" s="13"/>
      <c r="W297" s="12"/>
      <c r="X297" s="12"/>
      <c r="Y297" s="12"/>
    </row>
    <row r="298" customFormat="false" ht="15" hidden="false" customHeight="false" outlineLevel="0" collapsed="false">
      <c r="A298" s="11" t="s">
        <v>382</v>
      </c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3"/>
      <c r="R298" s="12"/>
      <c r="S298" s="13"/>
      <c r="T298" s="14"/>
      <c r="U298" s="12"/>
      <c r="V298" s="13"/>
      <c r="W298" s="12"/>
      <c r="X298" s="12"/>
      <c r="Y298" s="12"/>
    </row>
    <row r="299" customFormat="false" ht="15" hidden="false" customHeight="false" outlineLevel="0" collapsed="false">
      <c r="A299" s="11" t="s">
        <v>383</v>
      </c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3"/>
      <c r="R299" s="12"/>
      <c r="S299" s="13"/>
      <c r="T299" s="14"/>
      <c r="U299" s="12"/>
      <c r="V299" s="13"/>
      <c r="W299" s="12"/>
      <c r="X299" s="12"/>
      <c r="Y299" s="12"/>
    </row>
    <row r="300" customFormat="false" ht="15" hidden="false" customHeight="false" outlineLevel="0" collapsed="false">
      <c r="A300" s="11" t="s">
        <v>384</v>
      </c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3"/>
      <c r="R300" s="12"/>
      <c r="S300" s="13"/>
      <c r="T300" s="14"/>
      <c r="U300" s="12"/>
      <c r="V300" s="13"/>
      <c r="W300" s="12"/>
      <c r="X300" s="12"/>
      <c r="Y300" s="12"/>
    </row>
    <row r="301" customFormat="false" ht="15" hidden="false" customHeight="false" outlineLevel="0" collapsed="false">
      <c r="A301" s="11" t="s">
        <v>385</v>
      </c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3"/>
      <c r="R301" s="12"/>
      <c r="S301" s="13"/>
      <c r="T301" s="14"/>
      <c r="U301" s="12"/>
      <c r="V301" s="13"/>
      <c r="W301" s="12"/>
      <c r="X301" s="12"/>
      <c r="Y301" s="12"/>
    </row>
    <row r="302" customFormat="false" ht="15" hidden="false" customHeight="false" outlineLevel="0" collapsed="false">
      <c r="A302" s="11" t="s">
        <v>386</v>
      </c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3"/>
      <c r="R302" s="12"/>
      <c r="S302" s="13"/>
      <c r="T302" s="14"/>
      <c r="U302" s="12"/>
      <c r="V302" s="13"/>
      <c r="W302" s="12"/>
      <c r="X302" s="12"/>
      <c r="Y302" s="12"/>
    </row>
    <row r="303" customFormat="false" ht="15" hidden="false" customHeight="false" outlineLevel="0" collapsed="false">
      <c r="A303" s="11" t="s">
        <v>387</v>
      </c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3"/>
      <c r="R303" s="12"/>
      <c r="S303" s="13"/>
      <c r="T303" s="14"/>
      <c r="U303" s="12"/>
      <c r="V303" s="13"/>
      <c r="W303" s="12"/>
      <c r="X303" s="12"/>
      <c r="Y303" s="12"/>
    </row>
    <row r="304" customFormat="false" ht="15" hidden="false" customHeight="false" outlineLevel="0" collapsed="false">
      <c r="A304" s="11" t="s">
        <v>388</v>
      </c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3"/>
      <c r="R304" s="12"/>
      <c r="S304" s="13"/>
      <c r="T304" s="14"/>
      <c r="U304" s="12"/>
      <c r="V304" s="13"/>
      <c r="W304" s="12"/>
      <c r="X304" s="12"/>
      <c r="Y304" s="12"/>
    </row>
    <row r="305" customFormat="false" ht="15" hidden="false" customHeight="false" outlineLevel="0" collapsed="false">
      <c r="A305" s="11" t="s">
        <v>389</v>
      </c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3"/>
      <c r="R305" s="12"/>
      <c r="S305" s="13"/>
      <c r="T305" s="14"/>
      <c r="U305" s="12"/>
      <c r="V305" s="13"/>
      <c r="W305" s="12"/>
      <c r="X305" s="12"/>
      <c r="Y305" s="12"/>
    </row>
    <row r="306" customFormat="false" ht="15" hidden="false" customHeight="false" outlineLevel="0" collapsed="false">
      <c r="A306" s="11" t="s">
        <v>390</v>
      </c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3"/>
      <c r="R306" s="12"/>
      <c r="S306" s="13"/>
      <c r="T306" s="14"/>
      <c r="U306" s="12"/>
      <c r="V306" s="13"/>
      <c r="W306" s="12"/>
      <c r="X306" s="12"/>
      <c r="Y306" s="12"/>
    </row>
    <row r="307" customFormat="false" ht="15" hidden="false" customHeight="false" outlineLevel="0" collapsed="false">
      <c r="A307" s="11" t="s">
        <v>391</v>
      </c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3"/>
      <c r="R307" s="12"/>
      <c r="S307" s="13"/>
      <c r="T307" s="14"/>
      <c r="U307" s="12"/>
      <c r="V307" s="13"/>
      <c r="W307" s="12"/>
      <c r="X307" s="12"/>
      <c r="Y307" s="12"/>
    </row>
    <row r="308" customFormat="false" ht="15" hidden="false" customHeight="false" outlineLevel="0" collapsed="false">
      <c r="A308" s="11" t="s">
        <v>392</v>
      </c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3"/>
      <c r="R308" s="12"/>
      <c r="S308" s="13"/>
      <c r="T308" s="14"/>
      <c r="U308" s="12"/>
      <c r="V308" s="13"/>
      <c r="W308" s="12"/>
      <c r="X308" s="12"/>
      <c r="Y308" s="12"/>
    </row>
    <row r="309" customFormat="false" ht="15" hidden="false" customHeight="false" outlineLevel="0" collapsed="false">
      <c r="A309" s="11" t="s">
        <v>393</v>
      </c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3"/>
      <c r="R309" s="12"/>
      <c r="S309" s="13"/>
      <c r="T309" s="14"/>
      <c r="U309" s="12"/>
      <c r="V309" s="13"/>
      <c r="W309" s="12"/>
      <c r="X309" s="12"/>
      <c r="Y309" s="12"/>
    </row>
    <row r="310" customFormat="false" ht="15" hidden="false" customHeight="false" outlineLevel="0" collapsed="false">
      <c r="A310" s="11" t="s">
        <v>394</v>
      </c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3"/>
      <c r="R310" s="12"/>
      <c r="S310" s="13"/>
      <c r="T310" s="14"/>
      <c r="U310" s="12"/>
      <c r="V310" s="13"/>
      <c r="W310" s="12"/>
      <c r="X310" s="12"/>
      <c r="Y310" s="12"/>
    </row>
    <row r="311" customFormat="false" ht="15" hidden="false" customHeight="false" outlineLevel="0" collapsed="false">
      <c r="A311" s="11" t="s">
        <v>395</v>
      </c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3"/>
      <c r="R311" s="12"/>
      <c r="S311" s="13"/>
      <c r="T311" s="14"/>
      <c r="U311" s="12"/>
      <c r="V311" s="13"/>
      <c r="W311" s="12"/>
      <c r="X311" s="12"/>
      <c r="Y311" s="12"/>
    </row>
    <row r="312" customFormat="false" ht="15" hidden="false" customHeight="false" outlineLevel="0" collapsed="false">
      <c r="A312" s="11" t="s">
        <v>396</v>
      </c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3"/>
      <c r="R312" s="12"/>
      <c r="S312" s="13"/>
      <c r="T312" s="14"/>
      <c r="U312" s="12"/>
      <c r="V312" s="13"/>
      <c r="W312" s="12"/>
      <c r="X312" s="12"/>
      <c r="Y312" s="12"/>
    </row>
    <row r="313" customFormat="false" ht="15" hidden="false" customHeight="false" outlineLevel="0" collapsed="false">
      <c r="A313" s="11" t="s">
        <v>397</v>
      </c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3"/>
      <c r="R313" s="12"/>
      <c r="S313" s="13"/>
      <c r="T313" s="14"/>
      <c r="U313" s="12"/>
      <c r="V313" s="13"/>
      <c r="W313" s="12"/>
      <c r="X313" s="12"/>
      <c r="Y313" s="12"/>
    </row>
    <row r="314" customFormat="false" ht="15" hidden="false" customHeight="false" outlineLevel="0" collapsed="false">
      <c r="A314" s="11" t="s">
        <v>398</v>
      </c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3"/>
      <c r="R314" s="12"/>
      <c r="S314" s="13"/>
      <c r="T314" s="14"/>
      <c r="U314" s="12"/>
      <c r="V314" s="13"/>
      <c r="W314" s="12"/>
      <c r="X314" s="12"/>
      <c r="Y314" s="12"/>
    </row>
    <row r="315" customFormat="false" ht="15" hidden="false" customHeight="false" outlineLevel="0" collapsed="false">
      <c r="A315" s="11" t="s">
        <v>399</v>
      </c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3"/>
      <c r="R315" s="12"/>
      <c r="S315" s="13"/>
      <c r="T315" s="14"/>
      <c r="U315" s="12"/>
      <c r="V315" s="13"/>
      <c r="W315" s="12"/>
      <c r="X315" s="12"/>
      <c r="Y315" s="12"/>
    </row>
    <row r="316" customFormat="false" ht="15" hidden="false" customHeight="false" outlineLevel="0" collapsed="false">
      <c r="A316" s="11" t="s">
        <v>400</v>
      </c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3"/>
      <c r="R316" s="12"/>
      <c r="S316" s="13"/>
      <c r="T316" s="14"/>
      <c r="U316" s="12"/>
      <c r="V316" s="13"/>
      <c r="W316" s="12"/>
      <c r="X316" s="12"/>
      <c r="Y316" s="12"/>
    </row>
    <row r="317" customFormat="false" ht="15" hidden="false" customHeight="false" outlineLevel="0" collapsed="false">
      <c r="A317" s="11" t="s">
        <v>401</v>
      </c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3"/>
      <c r="R317" s="12"/>
      <c r="S317" s="13"/>
      <c r="T317" s="14"/>
      <c r="U317" s="12"/>
      <c r="V317" s="13"/>
      <c r="W317" s="12"/>
      <c r="X317" s="12"/>
      <c r="Y317" s="12"/>
    </row>
    <row r="318" customFormat="false" ht="15" hidden="false" customHeight="false" outlineLevel="0" collapsed="false">
      <c r="A318" s="11" t="s">
        <v>402</v>
      </c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3"/>
      <c r="R318" s="12"/>
      <c r="S318" s="13"/>
      <c r="T318" s="14"/>
      <c r="U318" s="12"/>
      <c r="V318" s="13"/>
      <c r="W318" s="12"/>
      <c r="X318" s="12"/>
      <c r="Y318" s="12"/>
    </row>
    <row r="319" customFormat="false" ht="15" hidden="false" customHeight="false" outlineLevel="0" collapsed="false">
      <c r="A319" s="11" t="s">
        <v>403</v>
      </c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3"/>
      <c r="R319" s="12"/>
      <c r="S319" s="13"/>
      <c r="T319" s="14"/>
      <c r="U319" s="12"/>
      <c r="V319" s="13"/>
      <c r="W319" s="12"/>
      <c r="X319" s="12"/>
      <c r="Y319" s="12"/>
    </row>
    <row r="320" customFormat="false" ht="15" hidden="false" customHeight="false" outlineLevel="0" collapsed="false">
      <c r="A320" s="11" t="s">
        <v>404</v>
      </c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3"/>
      <c r="R320" s="12"/>
      <c r="S320" s="13"/>
      <c r="T320" s="14"/>
      <c r="U320" s="12"/>
      <c r="V320" s="13"/>
      <c r="W320" s="12"/>
      <c r="X320" s="12"/>
      <c r="Y320" s="12"/>
    </row>
    <row r="321" customFormat="false" ht="15" hidden="false" customHeight="false" outlineLevel="0" collapsed="false">
      <c r="A321" s="11" t="s">
        <v>405</v>
      </c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3"/>
      <c r="R321" s="12"/>
      <c r="S321" s="13"/>
      <c r="T321" s="14"/>
      <c r="U321" s="12"/>
      <c r="V321" s="13"/>
      <c r="W321" s="12"/>
      <c r="X321" s="12"/>
      <c r="Y321" s="12"/>
    </row>
    <row r="322" customFormat="false" ht="15" hidden="false" customHeight="false" outlineLevel="0" collapsed="false">
      <c r="A322" s="11" t="s">
        <v>406</v>
      </c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3"/>
      <c r="R322" s="12"/>
      <c r="S322" s="13"/>
      <c r="T322" s="14"/>
      <c r="U322" s="12"/>
      <c r="V322" s="13"/>
      <c r="W322" s="12"/>
      <c r="X322" s="12"/>
      <c r="Y322" s="12"/>
    </row>
    <row r="323" customFormat="false" ht="15" hidden="false" customHeight="false" outlineLevel="0" collapsed="false">
      <c r="A323" s="11" t="s">
        <v>407</v>
      </c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3"/>
      <c r="R323" s="12"/>
      <c r="S323" s="13"/>
      <c r="T323" s="14"/>
      <c r="U323" s="12"/>
      <c r="V323" s="13"/>
      <c r="W323" s="12"/>
      <c r="X323" s="12"/>
      <c r="Y323" s="12"/>
    </row>
    <row r="324" customFormat="false" ht="15" hidden="false" customHeight="false" outlineLevel="0" collapsed="false">
      <c r="A324" s="11" t="s">
        <v>408</v>
      </c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3"/>
      <c r="R324" s="12"/>
      <c r="S324" s="13"/>
      <c r="T324" s="14"/>
      <c r="U324" s="12"/>
      <c r="V324" s="13"/>
      <c r="W324" s="12"/>
      <c r="X324" s="12"/>
      <c r="Y324" s="12"/>
    </row>
    <row r="325" customFormat="false" ht="15" hidden="false" customHeight="false" outlineLevel="0" collapsed="false">
      <c r="A325" s="11" t="s">
        <v>409</v>
      </c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3"/>
      <c r="R325" s="12"/>
      <c r="S325" s="13"/>
      <c r="T325" s="14"/>
      <c r="U325" s="12"/>
      <c r="V325" s="13"/>
      <c r="W325" s="12"/>
      <c r="X325" s="12"/>
      <c r="Y325" s="12"/>
    </row>
    <row r="326" customFormat="false" ht="15" hidden="false" customHeight="false" outlineLevel="0" collapsed="false">
      <c r="A326" s="11" t="s">
        <v>410</v>
      </c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3"/>
      <c r="R326" s="12"/>
      <c r="S326" s="13"/>
      <c r="T326" s="14"/>
      <c r="U326" s="12"/>
      <c r="V326" s="13"/>
      <c r="W326" s="12"/>
      <c r="X326" s="12"/>
      <c r="Y326" s="12"/>
    </row>
    <row r="327" customFormat="false" ht="15" hidden="false" customHeight="false" outlineLevel="0" collapsed="false">
      <c r="A327" s="11" t="s">
        <v>411</v>
      </c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3"/>
      <c r="R327" s="12"/>
      <c r="S327" s="13"/>
      <c r="T327" s="14"/>
      <c r="U327" s="12"/>
      <c r="V327" s="13"/>
      <c r="W327" s="12"/>
      <c r="X327" s="12"/>
      <c r="Y327" s="12"/>
    </row>
    <row r="328" customFormat="false" ht="15" hidden="false" customHeight="false" outlineLevel="0" collapsed="false">
      <c r="A328" s="11" t="s">
        <v>412</v>
      </c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3"/>
      <c r="R328" s="12"/>
      <c r="S328" s="13"/>
      <c r="T328" s="14"/>
      <c r="U328" s="12"/>
      <c r="V328" s="13"/>
      <c r="W328" s="12"/>
      <c r="X328" s="12"/>
      <c r="Y328" s="12"/>
    </row>
    <row r="329" customFormat="false" ht="15" hidden="false" customHeight="false" outlineLevel="0" collapsed="false">
      <c r="A329" s="11" t="s">
        <v>413</v>
      </c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3"/>
      <c r="R329" s="12"/>
      <c r="S329" s="13"/>
      <c r="T329" s="14"/>
      <c r="U329" s="12"/>
      <c r="V329" s="13"/>
      <c r="W329" s="12"/>
      <c r="X329" s="12"/>
      <c r="Y329" s="12"/>
    </row>
    <row r="330" customFormat="false" ht="15" hidden="false" customHeight="false" outlineLevel="0" collapsed="false">
      <c r="A330" s="11" t="s">
        <v>414</v>
      </c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3"/>
      <c r="R330" s="12"/>
      <c r="S330" s="13"/>
      <c r="T330" s="14"/>
      <c r="U330" s="12"/>
      <c r="V330" s="13"/>
      <c r="W330" s="12"/>
      <c r="X330" s="12"/>
      <c r="Y330" s="12"/>
    </row>
    <row r="331" customFormat="false" ht="15" hidden="false" customHeight="false" outlineLevel="0" collapsed="false">
      <c r="A331" s="11" t="s">
        <v>415</v>
      </c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3"/>
      <c r="R331" s="12"/>
      <c r="S331" s="13"/>
      <c r="T331" s="14"/>
      <c r="U331" s="12"/>
      <c r="V331" s="13"/>
      <c r="W331" s="12"/>
      <c r="X331" s="12"/>
      <c r="Y331" s="12"/>
    </row>
    <row r="332" customFormat="false" ht="15" hidden="false" customHeight="false" outlineLevel="0" collapsed="false">
      <c r="A332" s="11" t="s">
        <v>416</v>
      </c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3"/>
      <c r="R332" s="12"/>
      <c r="S332" s="13"/>
      <c r="T332" s="14"/>
      <c r="U332" s="12"/>
      <c r="V332" s="13"/>
      <c r="W332" s="12"/>
      <c r="X332" s="12"/>
      <c r="Y332" s="12"/>
    </row>
    <row r="333" customFormat="false" ht="15" hidden="false" customHeight="false" outlineLevel="0" collapsed="false">
      <c r="A333" s="11" t="s">
        <v>417</v>
      </c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3"/>
      <c r="R333" s="12"/>
      <c r="S333" s="13"/>
      <c r="T333" s="14"/>
      <c r="U333" s="12"/>
      <c r="V333" s="13"/>
      <c r="W333" s="12"/>
      <c r="X333" s="12"/>
      <c r="Y333" s="12"/>
    </row>
    <row r="334" customFormat="false" ht="15" hidden="false" customHeight="false" outlineLevel="0" collapsed="false">
      <c r="A334" s="11" t="s">
        <v>418</v>
      </c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3"/>
      <c r="R334" s="12"/>
      <c r="S334" s="13"/>
      <c r="T334" s="14"/>
      <c r="U334" s="12"/>
      <c r="V334" s="13"/>
      <c r="W334" s="12"/>
      <c r="X334" s="12"/>
      <c r="Y334" s="12"/>
    </row>
    <row r="335" customFormat="false" ht="15" hidden="false" customHeight="false" outlineLevel="0" collapsed="false">
      <c r="A335" s="11" t="s">
        <v>419</v>
      </c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3"/>
      <c r="R335" s="12"/>
      <c r="S335" s="13"/>
      <c r="T335" s="14"/>
      <c r="U335" s="12"/>
      <c r="V335" s="13"/>
      <c r="W335" s="12"/>
      <c r="X335" s="12"/>
      <c r="Y335" s="12"/>
    </row>
    <row r="336" customFormat="false" ht="15" hidden="false" customHeight="false" outlineLevel="0" collapsed="false">
      <c r="A336" s="11" t="s">
        <v>420</v>
      </c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3"/>
      <c r="R336" s="12"/>
      <c r="S336" s="13"/>
      <c r="T336" s="14"/>
      <c r="U336" s="12"/>
      <c r="V336" s="13"/>
      <c r="W336" s="12"/>
      <c r="X336" s="12"/>
      <c r="Y336" s="12"/>
    </row>
    <row r="337" customFormat="false" ht="15" hidden="false" customHeight="false" outlineLevel="0" collapsed="false">
      <c r="A337" s="11" t="s">
        <v>421</v>
      </c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3"/>
      <c r="R337" s="12"/>
      <c r="S337" s="13"/>
      <c r="T337" s="14"/>
      <c r="U337" s="12"/>
      <c r="V337" s="13"/>
      <c r="W337" s="12"/>
      <c r="X337" s="12"/>
      <c r="Y337" s="12"/>
    </row>
    <row r="338" customFormat="false" ht="15" hidden="false" customHeight="false" outlineLevel="0" collapsed="false">
      <c r="A338" s="11" t="s">
        <v>422</v>
      </c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3"/>
      <c r="R338" s="12"/>
      <c r="S338" s="13"/>
      <c r="T338" s="14"/>
      <c r="U338" s="12"/>
      <c r="V338" s="13"/>
      <c r="W338" s="12"/>
      <c r="X338" s="12"/>
      <c r="Y338" s="12"/>
    </row>
    <row r="339" customFormat="false" ht="15" hidden="false" customHeight="false" outlineLevel="0" collapsed="false">
      <c r="A339" s="11" t="s">
        <v>423</v>
      </c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3"/>
      <c r="R339" s="12"/>
      <c r="S339" s="13"/>
      <c r="T339" s="14"/>
      <c r="U339" s="12"/>
      <c r="V339" s="13"/>
      <c r="W339" s="12"/>
      <c r="X339" s="12"/>
      <c r="Y339" s="12"/>
    </row>
    <row r="340" customFormat="false" ht="15" hidden="false" customHeight="false" outlineLevel="0" collapsed="false">
      <c r="A340" s="11" t="s">
        <v>424</v>
      </c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3"/>
      <c r="R340" s="12"/>
      <c r="S340" s="13"/>
      <c r="T340" s="14"/>
      <c r="U340" s="12"/>
      <c r="V340" s="13"/>
      <c r="W340" s="12"/>
      <c r="X340" s="12"/>
      <c r="Y340" s="12"/>
    </row>
    <row r="341" customFormat="false" ht="15" hidden="false" customHeight="false" outlineLevel="0" collapsed="false">
      <c r="A341" s="11" t="s">
        <v>425</v>
      </c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3"/>
      <c r="R341" s="12"/>
      <c r="S341" s="13"/>
      <c r="T341" s="14"/>
      <c r="U341" s="12"/>
      <c r="V341" s="13"/>
      <c r="W341" s="12"/>
      <c r="X341" s="12"/>
      <c r="Y341" s="12"/>
    </row>
    <row r="342" customFormat="false" ht="15" hidden="false" customHeight="false" outlineLevel="0" collapsed="false">
      <c r="A342" s="11" t="s">
        <v>426</v>
      </c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3"/>
      <c r="R342" s="12"/>
      <c r="S342" s="13"/>
      <c r="T342" s="14"/>
      <c r="U342" s="12"/>
      <c r="V342" s="13"/>
      <c r="W342" s="12"/>
      <c r="X342" s="12"/>
      <c r="Y342" s="12"/>
    </row>
    <row r="343" customFormat="false" ht="15" hidden="false" customHeight="false" outlineLevel="0" collapsed="false">
      <c r="A343" s="11" t="s">
        <v>427</v>
      </c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3"/>
      <c r="R343" s="12"/>
      <c r="S343" s="13"/>
      <c r="T343" s="14"/>
      <c r="U343" s="12"/>
      <c r="V343" s="13"/>
      <c r="W343" s="12"/>
      <c r="X343" s="12"/>
      <c r="Y343" s="12"/>
    </row>
    <row r="344" customFormat="false" ht="15" hidden="false" customHeight="false" outlineLevel="0" collapsed="false">
      <c r="A344" s="11" t="s">
        <v>428</v>
      </c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3"/>
      <c r="R344" s="12"/>
      <c r="S344" s="13"/>
      <c r="T344" s="14"/>
      <c r="U344" s="12"/>
      <c r="V344" s="13"/>
      <c r="W344" s="12"/>
      <c r="X344" s="12"/>
      <c r="Y344" s="12"/>
    </row>
    <row r="345" customFormat="false" ht="15" hidden="false" customHeight="false" outlineLevel="0" collapsed="false">
      <c r="A345" s="11" t="s">
        <v>429</v>
      </c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3"/>
      <c r="R345" s="12"/>
      <c r="S345" s="13"/>
      <c r="T345" s="14"/>
      <c r="U345" s="12"/>
      <c r="V345" s="13"/>
      <c r="W345" s="12"/>
      <c r="X345" s="12"/>
      <c r="Y345" s="12"/>
    </row>
    <row r="346" customFormat="false" ht="15" hidden="false" customHeight="false" outlineLevel="0" collapsed="false">
      <c r="A346" s="11" t="s">
        <v>430</v>
      </c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3"/>
      <c r="R346" s="12"/>
      <c r="S346" s="13"/>
      <c r="T346" s="14"/>
      <c r="U346" s="12"/>
      <c r="V346" s="13"/>
      <c r="W346" s="12"/>
      <c r="X346" s="12"/>
      <c r="Y346" s="12"/>
    </row>
    <row r="347" customFormat="false" ht="15" hidden="false" customHeight="false" outlineLevel="0" collapsed="false">
      <c r="A347" s="11" t="s">
        <v>431</v>
      </c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3"/>
      <c r="R347" s="12"/>
      <c r="S347" s="13"/>
      <c r="T347" s="14"/>
      <c r="U347" s="12"/>
      <c r="V347" s="13"/>
      <c r="W347" s="12"/>
      <c r="X347" s="12"/>
      <c r="Y347" s="12"/>
    </row>
    <row r="348" customFormat="false" ht="15" hidden="false" customHeight="false" outlineLevel="0" collapsed="false">
      <c r="A348" s="11" t="s">
        <v>432</v>
      </c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3"/>
      <c r="R348" s="12"/>
      <c r="S348" s="13"/>
      <c r="T348" s="14"/>
      <c r="U348" s="12"/>
      <c r="V348" s="13"/>
      <c r="W348" s="12"/>
      <c r="X348" s="12"/>
      <c r="Y348" s="12"/>
    </row>
    <row r="349" customFormat="false" ht="15" hidden="false" customHeight="false" outlineLevel="0" collapsed="false">
      <c r="A349" s="11" t="s">
        <v>433</v>
      </c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3"/>
      <c r="R349" s="12"/>
      <c r="S349" s="13"/>
      <c r="T349" s="14"/>
      <c r="U349" s="12"/>
      <c r="V349" s="13"/>
      <c r="W349" s="12"/>
      <c r="X349" s="12"/>
      <c r="Y349" s="12"/>
    </row>
    <row r="350" customFormat="false" ht="15" hidden="false" customHeight="false" outlineLevel="0" collapsed="false">
      <c r="A350" s="11" t="s">
        <v>434</v>
      </c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3"/>
      <c r="R350" s="12"/>
      <c r="S350" s="13"/>
      <c r="T350" s="14"/>
      <c r="U350" s="12"/>
      <c r="V350" s="13"/>
      <c r="W350" s="12"/>
      <c r="X350" s="12"/>
      <c r="Y350" s="12"/>
    </row>
    <row r="351" customFormat="false" ht="15" hidden="false" customHeight="false" outlineLevel="0" collapsed="false">
      <c r="A351" s="11" t="s">
        <v>435</v>
      </c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3"/>
      <c r="R351" s="12"/>
      <c r="S351" s="13"/>
      <c r="T351" s="14"/>
      <c r="U351" s="12"/>
      <c r="V351" s="13"/>
      <c r="W351" s="12"/>
      <c r="X351" s="12"/>
      <c r="Y351" s="12"/>
    </row>
    <row r="352" customFormat="false" ht="15" hidden="false" customHeight="false" outlineLevel="0" collapsed="false">
      <c r="A352" s="11" t="s">
        <v>436</v>
      </c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3"/>
      <c r="R352" s="12"/>
      <c r="S352" s="13"/>
      <c r="T352" s="14"/>
      <c r="U352" s="12"/>
      <c r="V352" s="13"/>
      <c r="W352" s="12"/>
      <c r="X352" s="12"/>
      <c r="Y352" s="12"/>
    </row>
    <row r="353" customFormat="false" ht="15" hidden="false" customHeight="false" outlineLevel="0" collapsed="false">
      <c r="A353" s="11" t="s">
        <v>437</v>
      </c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3"/>
      <c r="R353" s="12"/>
      <c r="S353" s="13"/>
      <c r="T353" s="14"/>
      <c r="U353" s="12"/>
      <c r="V353" s="13"/>
      <c r="W353" s="12"/>
      <c r="X353" s="12"/>
      <c r="Y353" s="12"/>
    </row>
    <row r="354" customFormat="false" ht="15" hidden="false" customHeight="false" outlineLevel="0" collapsed="false">
      <c r="A354" s="11" t="s">
        <v>438</v>
      </c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3"/>
      <c r="R354" s="12"/>
      <c r="S354" s="13"/>
      <c r="T354" s="14"/>
      <c r="U354" s="12"/>
      <c r="V354" s="13"/>
      <c r="W354" s="12"/>
      <c r="X354" s="12"/>
      <c r="Y354" s="12"/>
    </row>
    <row r="355" customFormat="false" ht="15" hidden="false" customHeight="false" outlineLevel="0" collapsed="false">
      <c r="A355" s="11" t="s">
        <v>439</v>
      </c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3"/>
      <c r="R355" s="12"/>
      <c r="S355" s="13"/>
      <c r="T355" s="14"/>
      <c r="U355" s="12"/>
      <c r="V355" s="13"/>
      <c r="W355" s="12"/>
      <c r="X355" s="12"/>
      <c r="Y355" s="12"/>
    </row>
    <row r="356" customFormat="false" ht="15" hidden="false" customHeight="false" outlineLevel="0" collapsed="false">
      <c r="A356" s="11" t="s">
        <v>440</v>
      </c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3"/>
      <c r="R356" s="12"/>
      <c r="S356" s="13"/>
      <c r="T356" s="14"/>
      <c r="U356" s="12"/>
      <c r="V356" s="13"/>
      <c r="W356" s="12"/>
      <c r="X356" s="12"/>
      <c r="Y356" s="12"/>
    </row>
    <row r="357" customFormat="false" ht="15" hidden="false" customHeight="false" outlineLevel="0" collapsed="false">
      <c r="A357" s="11" t="s">
        <v>441</v>
      </c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3"/>
      <c r="R357" s="12"/>
      <c r="S357" s="13"/>
      <c r="T357" s="14"/>
      <c r="U357" s="12"/>
      <c r="V357" s="13"/>
      <c r="W357" s="12"/>
      <c r="X357" s="12"/>
      <c r="Y357" s="12"/>
    </row>
    <row r="358" customFormat="false" ht="15" hidden="false" customHeight="false" outlineLevel="0" collapsed="false">
      <c r="A358" s="11" t="s">
        <v>442</v>
      </c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3"/>
      <c r="R358" s="12"/>
      <c r="S358" s="13"/>
      <c r="T358" s="14"/>
      <c r="U358" s="12"/>
      <c r="V358" s="13"/>
      <c r="W358" s="12"/>
      <c r="X358" s="12"/>
      <c r="Y358" s="12"/>
    </row>
    <row r="359" customFormat="false" ht="15" hidden="false" customHeight="false" outlineLevel="0" collapsed="false">
      <c r="A359" s="11" t="s">
        <v>443</v>
      </c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3"/>
      <c r="R359" s="12"/>
      <c r="S359" s="13"/>
      <c r="T359" s="14"/>
      <c r="U359" s="12"/>
      <c r="V359" s="13"/>
      <c r="W359" s="12"/>
      <c r="X359" s="12"/>
      <c r="Y359" s="12"/>
    </row>
    <row r="360" customFormat="false" ht="15" hidden="false" customHeight="false" outlineLevel="0" collapsed="false">
      <c r="A360" s="11" t="s">
        <v>444</v>
      </c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3"/>
      <c r="R360" s="12"/>
      <c r="S360" s="13"/>
      <c r="T360" s="14"/>
      <c r="U360" s="12"/>
      <c r="V360" s="13"/>
      <c r="W360" s="12"/>
      <c r="X360" s="12"/>
      <c r="Y360" s="12"/>
    </row>
    <row r="361" customFormat="false" ht="15" hidden="false" customHeight="false" outlineLevel="0" collapsed="false">
      <c r="A361" s="11" t="s">
        <v>445</v>
      </c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3"/>
      <c r="R361" s="12"/>
      <c r="S361" s="13"/>
      <c r="T361" s="14"/>
      <c r="U361" s="12"/>
      <c r="V361" s="13"/>
      <c r="W361" s="12"/>
      <c r="X361" s="12"/>
      <c r="Y361" s="12"/>
    </row>
    <row r="362" customFormat="false" ht="15" hidden="false" customHeight="false" outlineLevel="0" collapsed="false">
      <c r="A362" s="11" t="s">
        <v>446</v>
      </c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3"/>
      <c r="R362" s="12"/>
      <c r="S362" s="13"/>
      <c r="T362" s="14"/>
      <c r="U362" s="12"/>
      <c r="V362" s="13"/>
      <c r="W362" s="12"/>
      <c r="X362" s="12"/>
      <c r="Y362" s="12"/>
    </row>
    <row r="363" customFormat="false" ht="15" hidden="false" customHeight="false" outlineLevel="0" collapsed="false">
      <c r="A363" s="11" t="s">
        <v>447</v>
      </c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3"/>
      <c r="R363" s="12"/>
      <c r="S363" s="13"/>
      <c r="T363" s="14"/>
      <c r="U363" s="12"/>
      <c r="V363" s="13"/>
      <c r="W363" s="12"/>
      <c r="X363" s="12"/>
      <c r="Y363" s="12"/>
    </row>
    <row r="364" customFormat="false" ht="15" hidden="false" customHeight="false" outlineLevel="0" collapsed="false">
      <c r="A364" s="11" t="s">
        <v>448</v>
      </c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3"/>
      <c r="R364" s="12"/>
      <c r="S364" s="13"/>
      <c r="T364" s="14"/>
      <c r="U364" s="12"/>
      <c r="V364" s="13"/>
      <c r="W364" s="12"/>
      <c r="X364" s="12"/>
      <c r="Y364" s="12"/>
    </row>
    <row r="365" customFormat="false" ht="15" hidden="false" customHeight="false" outlineLevel="0" collapsed="false">
      <c r="A365" s="11" t="s">
        <v>449</v>
      </c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3"/>
      <c r="R365" s="12"/>
      <c r="S365" s="13"/>
      <c r="T365" s="14"/>
      <c r="U365" s="12"/>
      <c r="V365" s="13"/>
      <c r="W365" s="12"/>
      <c r="X365" s="12"/>
      <c r="Y365" s="12"/>
    </row>
    <row r="366" customFormat="false" ht="15" hidden="false" customHeight="false" outlineLevel="0" collapsed="false">
      <c r="A366" s="11" t="s">
        <v>450</v>
      </c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3"/>
      <c r="R366" s="12"/>
      <c r="S366" s="13"/>
      <c r="T366" s="14"/>
      <c r="U366" s="12"/>
      <c r="V366" s="13"/>
      <c r="W366" s="12"/>
      <c r="X366" s="12"/>
      <c r="Y366" s="12"/>
    </row>
    <row r="367" customFormat="false" ht="15" hidden="false" customHeight="false" outlineLevel="0" collapsed="false">
      <c r="A367" s="11" t="s">
        <v>451</v>
      </c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3"/>
      <c r="R367" s="12"/>
      <c r="S367" s="13"/>
      <c r="T367" s="14"/>
      <c r="U367" s="12"/>
      <c r="V367" s="13"/>
      <c r="W367" s="12"/>
      <c r="X367" s="12"/>
      <c r="Y367" s="12"/>
    </row>
    <row r="368" customFormat="false" ht="15" hidden="false" customHeight="false" outlineLevel="0" collapsed="false">
      <c r="A368" s="11" t="s">
        <v>452</v>
      </c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3"/>
      <c r="R368" s="12"/>
      <c r="S368" s="13"/>
      <c r="T368" s="14"/>
      <c r="U368" s="12"/>
      <c r="V368" s="13"/>
      <c r="W368" s="12"/>
      <c r="X368" s="12"/>
      <c r="Y368" s="12"/>
    </row>
    <row r="369" customFormat="false" ht="15" hidden="false" customHeight="false" outlineLevel="0" collapsed="false">
      <c r="A369" s="11" t="s">
        <v>453</v>
      </c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3"/>
      <c r="R369" s="12"/>
      <c r="S369" s="13"/>
      <c r="T369" s="14"/>
      <c r="U369" s="12"/>
      <c r="V369" s="13"/>
      <c r="W369" s="12"/>
      <c r="X369" s="12"/>
      <c r="Y369" s="12"/>
    </row>
    <row r="370" customFormat="false" ht="15" hidden="false" customHeight="false" outlineLevel="0" collapsed="false">
      <c r="A370" s="11" t="s">
        <v>454</v>
      </c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3"/>
      <c r="R370" s="12"/>
      <c r="S370" s="13"/>
      <c r="T370" s="14"/>
      <c r="U370" s="12"/>
      <c r="V370" s="13"/>
      <c r="W370" s="12"/>
      <c r="X370" s="12"/>
      <c r="Y370" s="12"/>
    </row>
    <row r="371" customFormat="false" ht="15" hidden="false" customHeight="false" outlineLevel="0" collapsed="false">
      <c r="A371" s="11" t="s">
        <v>455</v>
      </c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3"/>
      <c r="R371" s="12"/>
      <c r="S371" s="13"/>
      <c r="T371" s="14"/>
      <c r="U371" s="12"/>
      <c r="V371" s="13"/>
      <c r="W371" s="12"/>
      <c r="X371" s="12"/>
      <c r="Y371" s="12"/>
    </row>
    <row r="372" customFormat="false" ht="15" hidden="false" customHeight="false" outlineLevel="0" collapsed="false">
      <c r="A372" s="11" t="s">
        <v>456</v>
      </c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3"/>
      <c r="R372" s="12"/>
      <c r="S372" s="13"/>
      <c r="T372" s="14"/>
      <c r="U372" s="12"/>
      <c r="V372" s="13"/>
      <c r="W372" s="12"/>
      <c r="X372" s="12"/>
      <c r="Y372" s="12"/>
    </row>
    <row r="373" customFormat="false" ht="15" hidden="false" customHeight="false" outlineLevel="0" collapsed="false">
      <c r="A373" s="11" t="s">
        <v>457</v>
      </c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3"/>
      <c r="R373" s="12"/>
      <c r="S373" s="13"/>
      <c r="T373" s="14"/>
      <c r="U373" s="12"/>
      <c r="V373" s="13"/>
      <c r="W373" s="12"/>
      <c r="X373" s="12"/>
      <c r="Y373" s="12"/>
    </row>
    <row r="374" customFormat="false" ht="15" hidden="false" customHeight="false" outlineLevel="0" collapsed="false">
      <c r="A374" s="11" t="s">
        <v>458</v>
      </c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3"/>
      <c r="R374" s="12"/>
      <c r="S374" s="13"/>
      <c r="T374" s="14"/>
      <c r="U374" s="12"/>
      <c r="V374" s="13"/>
      <c r="W374" s="12"/>
      <c r="X374" s="12"/>
      <c r="Y374" s="12"/>
    </row>
    <row r="375" customFormat="false" ht="15" hidden="false" customHeight="false" outlineLevel="0" collapsed="false">
      <c r="A375" s="11" t="s">
        <v>459</v>
      </c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3"/>
      <c r="R375" s="12"/>
      <c r="S375" s="13"/>
      <c r="T375" s="14"/>
      <c r="U375" s="12"/>
      <c r="V375" s="13"/>
      <c r="W375" s="12"/>
      <c r="X375" s="12"/>
      <c r="Y375" s="12"/>
    </row>
    <row r="376" customFormat="false" ht="15" hidden="false" customHeight="false" outlineLevel="0" collapsed="false">
      <c r="A376" s="11" t="s">
        <v>460</v>
      </c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3"/>
      <c r="R376" s="12"/>
      <c r="S376" s="13"/>
      <c r="T376" s="14"/>
      <c r="U376" s="12"/>
      <c r="V376" s="13"/>
      <c r="W376" s="12"/>
      <c r="X376" s="12"/>
      <c r="Y376" s="12"/>
    </row>
    <row r="377" customFormat="false" ht="15" hidden="false" customHeight="false" outlineLevel="0" collapsed="false">
      <c r="A377" s="11" t="s">
        <v>461</v>
      </c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3"/>
      <c r="R377" s="12"/>
      <c r="S377" s="13"/>
      <c r="T377" s="14"/>
      <c r="U377" s="12"/>
      <c r="V377" s="13"/>
      <c r="W377" s="12"/>
      <c r="X377" s="12"/>
      <c r="Y377" s="12"/>
    </row>
    <row r="378" customFormat="false" ht="15" hidden="false" customHeight="false" outlineLevel="0" collapsed="false">
      <c r="A378" s="11" t="s">
        <v>462</v>
      </c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3"/>
      <c r="R378" s="12"/>
      <c r="S378" s="13"/>
      <c r="T378" s="14"/>
      <c r="U378" s="12"/>
      <c r="V378" s="13"/>
      <c r="W378" s="12"/>
      <c r="X378" s="12"/>
      <c r="Y378" s="12"/>
    </row>
    <row r="379" customFormat="false" ht="15" hidden="false" customHeight="false" outlineLevel="0" collapsed="false">
      <c r="A379" s="11" t="s">
        <v>463</v>
      </c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3"/>
      <c r="R379" s="12"/>
      <c r="S379" s="13"/>
      <c r="T379" s="14"/>
      <c r="U379" s="12"/>
      <c r="V379" s="13"/>
      <c r="W379" s="12"/>
      <c r="X379" s="12"/>
      <c r="Y379" s="12"/>
    </row>
    <row r="380" customFormat="false" ht="15" hidden="false" customHeight="false" outlineLevel="0" collapsed="false">
      <c r="A380" s="11" t="s">
        <v>464</v>
      </c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3"/>
      <c r="R380" s="12"/>
      <c r="S380" s="13"/>
      <c r="T380" s="14"/>
      <c r="U380" s="12"/>
      <c r="V380" s="13"/>
      <c r="W380" s="12"/>
      <c r="X380" s="12"/>
      <c r="Y380" s="12"/>
    </row>
    <row r="381" customFormat="false" ht="15" hidden="false" customHeight="false" outlineLevel="0" collapsed="false">
      <c r="A381" s="11" t="s">
        <v>465</v>
      </c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3"/>
      <c r="R381" s="12"/>
      <c r="S381" s="13"/>
      <c r="T381" s="14"/>
      <c r="U381" s="12"/>
      <c r="V381" s="13"/>
      <c r="W381" s="12"/>
      <c r="X381" s="12"/>
      <c r="Y381" s="12"/>
    </row>
    <row r="382" customFormat="false" ht="15" hidden="false" customHeight="false" outlineLevel="0" collapsed="false">
      <c r="A382" s="11" t="s">
        <v>466</v>
      </c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3"/>
      <c r="R382" s="12"/>
      <c r="S382" s="13"/>
      <c r="T382" s="14"/>
      <c r="U382" s="12"/>
      <c r="V382" s="13"/>
      <c r="W382" s="12"/>
      <c r="X382" s="12"/>
      <c r="Y382" s="12"/>
    </row>
    <row r="383" customFormat="false" ht="15" hidden="false" customHeight="false" outlineLevel="0" collapsed="false">
      <c r="A383" s="11" t="s">
        <v>467</v>
      </c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3"/>
      <c r="R383" s="12"/>
      <c r="S383" s="13"/>
      <c r="T383" s="14"/>
      <c r="U383" s="12"/>
      <c r="V383" s="13"/>
      <c r="W383" s="12"/>
      <c r="X383" s="12"/>
      <c r="Y383" s="12"/>
    </row>
    <row r="384" customFormat="false" ht="15" hidden="false" customHeight="false" outlineLevel="0" collapsed="false">
      <c r="A384" s="11" t="s">
        <v>468</v>
      </c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3"/>
      <c r="R384" s="12"/>
      <c r="S384" s="13"/>
      <c r="T384" s="14"/>
      <c r="U384" s="12"/>
      <c r="V384" s="13"/>
      <c r="W384" s="12"/>
      <c r="X384" s="12"/>
      <c r="Y384" s="12"/>
    </row>
    <row r="385" customFormat="false" ht="15" hidden="false" customHeight="false" outlineLevel="0" collapsed="false">
      <c r="A385" s="11" t="s">
        <v>469</v>
      </c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3"/>
      <c r="R385" s="12"/>
      <c r="S385" s="13"/>
      <c r="T385" s="14"/>
      <c r="U385" s="12"/>
      <c r="V385" s="13"/>
      <c r="W385" s="12"/>
      <c r="X385" s="12"/>
      <c r="Y385" s="12"/>
    </row>
    <row r="386" customFormat="false" ht="15" hidden="false" customHeight="false" outlineLevel="0" collapsed="false">
      <c r="A386" s="11" t="s">
        <v>470</v>
      </c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3"/>
      <c r="R386" s="12"/>
      <c r="S386" s="13"/>
      <c r="T386" s="14"/>
      <c r="U386" s="12"/>
      <c r="V386" s="13"/>
      <c r="W386" s="12"/>
      <c r="X386" s="12"/>
      <c r="Y386" s="12"/>
    </row>
    <row r="387" customFormat="false" ht="15" hidden="false" customHeight="false" outlineLevel="0" collapsed="false">
      <c r="A387" s="11" t="s">
        <v>471</v>
      </c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3"/>
      <c r="R387" s="12"/>
      <c r="S387" s="13"/>
      <c r="T387" s="14"/>
      <c r="U387" s="12"/>
      <c r="V387" s="13"/>
      <c r="W387" s="12"/>
      <c r="X387" s="12"/>
      <c r="Y387" s="12"/>
    </row>
    <row r="388" customFormat="false" ht="15" hidden="false" customHeight="false" outlineLevel="0" collapsed="false">
      <c r="A388" s="11" t="s">
        <v>472</v>
      </c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3"/>
      <c r="R388" s="12"/>
      <c r="S388" s="13"/>
      <c r="T388" s="14"/>
      <c r="U388" s="12"/>
      <c r="V388" s="13"/>
      <c r="W388" s="12"/>
      <c r="X388" s="12"/>
      <c r="Y388" s="12"/>
    </row>
    <row r="389" customFormat="false" ht="15" hidden="false" customHeight="false" outlineLevel="0" collapsed="false">
      <c r="A389" s="11" t="s">
        <v>473</v>
      </c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3"/>
      <c r="R389" s="12"/>
      <c r="S389" s="13"/>
      <c r="T389" s="14"/>
      <c r="U389" s="12"/>
      <c r="V389" s="13"/>
      <c r="W389" s="12"/>
      <c r="X389" s="12"/>
      <c r="Y389" s="12"/>
    </row>
    <row r="390" customFormat="false" ht="15" hidden="false" customHeight="false" outlineLevel="0" collapsed="false">
      <c r="A390" s="11" t="s">
        <v>474</v>
      </c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3"/>
      <c r="R390" s="12"/>
      <c r="S390" s="13"/>
      <c r="T390" s="14"/>
      <c r="U390" s="12"/>
      <c r="V390" s="13"/>
      <c r="W390" s="12"/>
      <c r="X390" s="12"/>
      <c r="Y390" s="12"/>
    </row>
    <row r="391" customFormat="false" ht="15" hidden="false" customHeight="false" outlineLevel="0" collapsed="false">
      <c r="A391" s="11" t="s">
        <v>475</v>
      </c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3"/>
      <c r="R391" s="12"/>
      <c r="S391" s="13"/>
      <c r="T391" s="14"/>
      <c r="U391" s="12"/>
      <c r="V391" s="13"/>
      <c r="W391" s="12"/>
      <c r="X391" s="12"/>
      <c r="Y391" s="12"/>
    </row>
    <row r="392" customFormat="false" ht="15" hidden="false" customHeight="false" outlineLevel="0" collapsed="false">
      <c r="A392" s="11" t="s">
        <v>476</v>
      </c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3"/>
      <c r="R392" s="12"/>
      <c r="S392" s="13"/>
      <c r="T392" s="14"/>
      <c r="U392" s="12"/>
      <c r="V392" s="13"/>
      <c r="W392" s="12"/>
      <c r="X392" s="12"/>
      <c r="Y392" s="12"/>
    </row>
    <row r="393" customFormat="false" ht="15" hidden="false" customHeight="false" outlineLevel="0" collapsed="false">
      <c r="A393" s="11" t="s">
        <v>477</v>
      </c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3"/>
      <c r="R393" s="12"/>
      <c r="S393" s="13"/>
      <c r="T393" s="14"/>
      <c r="U393" s="12"/>
      <c r="V393" s="13"/>
      <c r="W393" s="12"/>
      <c r="X393" s="12"/>
      <c r="Y393" s="12"/>
    </row>
    <row r="394" customFormat="false" ht="15" hidden="false" customHeight="false" outlineLevel="0" collapsed="false">
      <c r="A394" s="11" t="s">
        <v>478</v>
      </c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3"/>
      <c r="R394" s="12"/>
      <c r="S394" s="13"/>
      <c r="T394" s="14"/>
      <c r="U394" s="12"/>
      <c r="V394" s="13"/>
      <c r="W394" s="12"/>
      <c r="X394" s="12"/>
      <c r="Y394" s="12"/>
    </row>
    <row r="395" customFormat="false" ht="15" hidden="false" customHeight="false" outlineLevel="0" collapsed="false">
      <c r="A395" s="11" t="s">
        <v>479</v>
      </c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3"/>
      <c r="R395" s="12"/>
      <c r="S395" s="13"/>
      <c r="T395" s="14"/>
      <c r="U395" s="12"/>
      <c r="V395" s="13"/>
      <c r="W395" s="12"/>
      <c r="X395" s="12"/>
      <c r="Y395" s="12"/>
    </row>
    <row r="396" customFormat="false" ht="15" hidden="false" customHeight="false" outlineLevel="0" collapsed="false">
      <c r="A396" s="11" t="s">
        <v>480</v>
      </c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3"/>
      <c r="R396" s="12"/>
      <c r="S396" s="13"/>
      <c r="T396" s="14"/>
      <c r="U396" s="12"/>
      <c r="V396" s="13"/>
      <c r="W396" s="12"/>
      <c r="X396" s="12"/>
      <c r="Y396" s="12"/>
    </row>
    <row r="397" customFormat="false" ht="15" hidden="false" customHeight="false" outlineLevel="0" collapsed="false">
      <c r="A397" s="11" t="s">
        <v>481</v>
      </c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3"/>
      <c r="R397" s="12"/>
      <c r="S397" s="13"/>
      <c r="T397" s="14"/>
      <c r="U397" s="12"/>
      <c r="V397" s="13"/>
      <c r="W397" s="12"/>
      <c r="X397" s="12"/>
      <c r="Y397" s="12"/>
    </row>
    <row r="398" customFormat="false" ht="15" hidden="false" customHeight="false" outlineLevel="0" collapsed="false">
      <c r="A398" s="11" t="s">
        <v>482</v>
      </c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3"/>
      <c r="R398" s="12"/>
      <c r="S398" s="13"/>
      <c r="T398" s="14"/>
      <c r="U398" s="12"/>
      <c r="V398" s="13"/>
      <c r="W398" s="12"/>
      <c r="X398" s="12"/>
      <c r="Y398" s="12"/>
    </row>
    <row r="399" customFormat="false" ht="15" hidden="false" customHeight="false" outlineLevel="0" collapsed="false">
      <c r="A399" s="11" t="s">
        <v>483</v>
      </c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3"/>
      <c r="R399" s="12"/>
      <c r="S399" s="13"/>
      <c r="T399" s="14"/>
      <c r="U399" s="12"/>
      <c r="V399" s="13"/>
      <c r="W399" s="12"/>
      <c r="X399" s="12"/>
      <c r="Y399" s="12"/>
    </row>
    <row r="400" customFormat="false" ht="15" hidden="false" customHeight="false" outlineLevel="0" collapsed="false">
      <c r="A400" s="11" t="s">
        <v>484</v>
      </c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3"/>
      <c r="R400" s="12"/>
      <c r="S400" s="13"/>
      <c r="T400" s="14"/>
      <c r="U400" s="12"/>
      <c r="V400" s="13"/>
      <c r="W400" s="12"/>
      <c r="X400" s="12"/>
      <c r="Y400" s="12"/>
    </row>
    <row r="401" customFormat="false" ht="15" hidden="false" customHeight="false" outlineLevel="0" collapsed="false">
      <c r="A401" s="11" t="s">
        <v>485</v>
      </c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3"/>
      <c r="R401" s="12"/>
      <c r="S401" s="13"/>
      <c r="T401" s="14"/>
      <c r="U401" s="12"/>
      <c r="V401" s="13"/>
      <c r="W401" s="12"/>
      <c r="X401" s="12"/>
      <c r="Y401" s="12"/>
    </row>
    <row r="402" customFormat="false" ht="15" hidden="false" customHeight="false" outlineLevel="0" collapsed="false">
      <c r="A402" s="11" t="s">
        <v>486</v>
      </c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3"/>
      <c r="R402" s="12"/>
      <c r="S402" s="13"/>
      <c r="T402" s="14"/>
      <c r="U402" s="12"/>
      <c r="V402" s="13"/>
      <c r="W402" s="12"/>
      <c r="X402" s="12"/>
      <c r="Y402" s="12"/>
    </row>
    <row r="403" customFormat="false" ht="15" hidden="false" customHeight="false" outlineLevel="0" collapsed="false">
      <c r="A403" s="11" t="s">
        <v>487</v>
      </c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3"/>
      <c r="R403" s="12"/>
      <c r="S403" s="13"/>
      <c r="T403" s="14"/>
      <c r="U403" s="12"/>
      <c r="V403" s="13"/>
      <c r="W403" s="12"/>
      <c r="X403" s="12"/>
      <c r="Y403" s="12"/>
    </row>
    <row r="404" customFormat="false" ht="15" hidden="false" customHeight="false" outlineLevel="0" collapsed="false">
      <c r="A404" s="11" t="s">
        <v>488</v>
      </c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3"/>
      <c r="R404" s="12"/>
      <c r="S404" s="13"/>
      <c r="T404" s="14"/>
      <c r="U404" s="12"/>
      <c r="V404" s="13"/>
      <c r="W404" s="12"/>
      <c r="X404" s="12"/>
      <c r="Y404" s="12"/>
    </row>
    <row r="405" customFormat="false" ht="15" hidden="false" customHeight="false" outlineLevel="0" collapsed="false">
      <c r="A405" s="11" t="s">
        <v>489</v>
      </c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3"/>
      <c r="R405" s="12"/>
      <c r="S405" s="13"/>
      <c r="T405" s="14"/>
      <c r="U405" s="12"/>
      <c r="V405" s="13"/>
      <c r="W405" s="12"/>
      <c r="X405" s="12"/>
      <c r="Y405" s="12"/>
    </row>
    <row r="406" customFormat="false" ht="15" hidden="false" customHeight="false" outlineLevel="0" collapsed="false">
      <c r="A406" s="11" t="s">
        <v>490</v>
      </c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3"/>
      <c r="R406" s="12"/>
      <c r="S406" s="13"/>
      <c r="T406" s="14"/>
      <c r="U406" s="12"/>
      <c r="V406" s="13"/>
      <c r="W406" s="12"/>
      <c r="X406" s="12"/>
      <c r="Y406" s="12"/>
    </row>
    <row r="407" customFormat="false" ht="15" hidden="false" customHeight="false" outlineLevel="0" collapsed="false">
      <c r="A407" s="11" t="s">
        <v>491</v>
      </c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3"/>
      <c r="R407" s="12"/>
      <c r="S407" s="13"/>
      <c r="T407" s="14"/>
      <c r="U407" s="12"/>
      <c r="V407" s="13"/>
      <c r="W407" s="12"/>
      <c r="X407" s="12"/>
      <c r="Y407" s="12"/>
    </row>
    <row r="408" customFormat="false" ht="15" hidden="false" customHeight="false" outlineLevel="0" collapsed="false">
      <c r="A408" s="11" t="s">
        <v>492</v>
      </c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3"/>
      <c r="R408" s="12"/>
      <c r="S408" s="13"/>
      <c r="T408" s="14"/>
      <c r="U408" s="12"/>
      <c r="V408" s="13"/>
      <c r="W408" s="12"/>
      <c r="X408" s="12"/>
      <c r="Y408" s="12"/>
    </row>
    <row r="409" customFormat="false" ht="15" hidden="false" customHeight="false" outlineLevel="0" collapsed="false">
      <c r="A409" s="11" t="s">
        <v>493</v>
      </c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3"/>
      <c r="R409" s="12"/>
      <c r="S409" s="13"/>
      <c r="T409" s="14"/>
      <c r="U409" s="12"/>
      <c r="V409" s="13"/>
      <c r="W409" s="12"/>
      <c r="X409" s="12"/>
      <c r="Y409" s="12"/>
    </row>
    <row r="410" customFormat="false" ht="15" hidden="false" customHeight="false" outlineLevel="0" collapsed="false">
      <c r="A410" s="11" t="s">
        <v>494</v>
      </c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3"/>
      <c r="R410" s="12"/>
      <c r="S410" s="13"/>
      <c r="T410" s="14"/>
      <c r="U410" s="12"/>
      <c r="V410" s="13"/>
      <c r="W410" s="12"/>
      <c r="X410" s="12"/>
      <c r="Y410" s="12"/>
    </row>
    <row r="411" customFormat="false" ht="15" hidden="false" customHeight="false" outlineLevel="0" collapsed="false">
      <c r="A411" s="11" t="s">
        <v>495</v>
      </c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3"/>
      <c r="R411" s="12"/>
      <c r="S411" s="13"/>
      <c r="T411" s="14"/>
      <c r="U411" s="12"/>
      <c r="V411" s="13"/>
      <c r="W411" s="12"/>
      <c r="X411" s="12"/>
      <c r="Y411" s="12"/>
    </row>
    <row r="412" customFormat="false" ht="15" hidden="false" customHeight="false" outlineLevel="0" collapsed="false">
      <c r="A412" s="11" t="s">
        <v>496</v>
      </c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3"/>
      <c r="R412" s="12"/>
      <c r="S412" s="13"/>
      <c r="T412" s="14"/>
      <c r="U412" s="12"/>
      <c r="V412" s="13"/>
      <c r="W412" s="12"/>
      <c r="X412" s="12"/>
      <c r="Y412" s="12"/>
    </row>
    <row r="413" customFormat="false" ht="15" hidden="false" customHeight="false" outlineLevel="0" collapsed="false">
      <c r="A413" s="11" t="s">
        <v>497</v>
      </c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3"/>
      <c r="R413" s="12"/>
      <c r="S413" s="13"/>
      <c r="T413" s="14"/>
      <c r="U413" s="12"/>
      <c r="V413" s="13"/>
      <c r="W413" s="12"/>
      <c r="X413" s="12"/>
      <c r="Y413" s="12"/>
    </row>
    <row r="414" customFormat="false" ht="15" hidden="false" customHeight="false" outlineLevel="0" collapsed="false">
      <c r="A414" s="11" t="s">
        <v>498</v>
      </c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3"/>
      <c r="R414" s="12"/>
      <c r="S414" s="13"/>
      <c r="T414" s="14"/>
      <c r="U414" s="12"/>
      <c r="V414" s="13"/>
      <c r="W414" s="12"/>
      <c r="X414" s="12"/>
      <c r="Y414" s="12"/>
    </row>
    <row r="415" customFormat="false" ht="15" hidden="false" customHeight="false" outlineLevel="0" collapsed="false">
      <c r="A415" s="11" t="s">
        <v>499</v>
      </c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3"/>
      <c r="R415" s="12"/>
      <c r="S415" s="13"/>
      <c r="T415" s="14"/>
      <c r="U415" s="12"/>
      <c r="V415" s="13"/>
      <c r="W415" s="12"/>
      <c r="X415" s="12"/>
      <c r="Y415" s="12"/>
    </row>
    <row r="416" customFormat="false" ht="15" hidden="false" customHeight="false" outlineLevel="0" collapsed="false">
      <c r="A416" s="11" t="s">
        <v>500</v>
      </c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3"/>
      <c r="R416" s="12"/>
      <c r="S416" s="13"/>
      <c r="T416" s="14"/>
      <c r="U416" s="12"/>
      <c r="V416" s="13"/>
      <c r="W416" s="12"/>
      <c r="X416" s="12"/>
      <c r="Y416" s="12"/>
    </row>
    <row r="417" customFormat="false" ht="15" hidden="false" customHeight="false" outlineLevel="0" collapsed="false">
      <c r="A417" s="11" t="s">
        <v>501</v>
      </c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3"/>
      <c r="R417" s="12"/>
      <c r="S417" s="13"/>
      <c r="T417" s="14"/>
      <c r="U417" s="12"/>
      <c r="V417" s="13"/>
      <c r="W417" s="12"/>
      <c r="X417" s="12"/>
      <c r="Y417" s="12"/>
    </row>
    <row r="418" customFormat="false" ht="15" hidden="false" customHeight="false" outlineLevel="0" collapsed="false">
      <c r="A418" s="11" t="s">
        <v>502</v>
      </c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3"/>
      <c r="R418" s="12"/>
      <c r="S418" s="13"/>
      <c r="T418" s="14"/>
      <c r="U418" s="12"/>
      <c r="V418" s="13"/>
      <c r="W418" s="12"/>
      <c r="X418" s="12"/>
      <c r="Y418" s="12"/>
    </row>
    <row r="419" customFormat="false" ht="15" hidden="false" customHeight="false" outlineLevel="0" collapsed="false">
      <c r="A419" s="11" t="s">
        <v>503</v>
      </c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3"/>
      <c r="R419" s="12"/>
      <c r="S419" s="13"/>
      <c r="T419" s="14"/>
      <c r="U419" s="12"/>
      <c r="V419" s="13"/>
      <c r="W419" s="12"/>
      <c r="X419" s="12"/>
      <c r="Y419" s="12"/>
    </row>
    <row r="420" customFormat="false" ht="15" hidden="false" customHeight="false" outlineLevel="0" collapsed="false">
      <c r="A420" s="11" t="s">
        <v>504</v>
      </c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3"/>
      <c r="R420" s="12"/>
      <c r="S420" s="13"/>
      <c r="T420" s="14"/>
      <c r="U420" s="12"/>
      <c r="V420" s="13"/>
      <c r="W420" s="12"/>
      <c r="X420" s="12"/>
      <c r="Y420" s="12"/>
    </row>
    <row r="421" customFormat="false" ht="15" hidden="false" customHeight="false" outlineLevel="0" collapsed="false">
      <c r="A421" s="11" t="s">
        <v>505</v>
      </c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3"/>
      <c r="R421" s="12"/>
      <c r="S421" s="13"/>
      <c r="T421" s="14"/>
      <c r="U421" s="12"/>
      <c r="V421" s="13"/>
      <c r="W421" s="12"/>
      <c r="X421" s="12"/>
      <c r="Y421" s="12"/>
    </row>
    <row r="422" customFormat="false" ht="15" hidden="false" customHeight="false" outlineLevel="0" collapsed="false">
      <c r="A422" s="11" t="s">
        <v>506</v>
      </c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3"/>
      <c r="R422" s="12"/>
      <c r="S422" s="13"/>
      <c r="T422" s="14"/>
      <c r="U422" s="12"/>
      <c r="V422" s="13"/>
      <c r="W422" s="12"/>
      <c r="X422" s="12"/>
      <c r="Y422" s="12"/>
    </row>
    <row r="423" customFormat="false" ht="15" hidden="false" customHeight="false" outlineLevel="0" collapsed="false">
      <c r="A423" s="11" t="s">
        <v>507</v>
      </c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3"/>
      <c r="R423" s="12"/>
      <c r="S423" s="13"/>
      <c r="T423" s="14"/>
      <c r="U423" s="12"/>
      <c r="V423" s="13"/>
      <c r="W423" s="12"/>
      <c r="X423" s="12"/>
      <c r="Y423" s="12"/>
    </row>
    <row r="424" customFormat="false" ht="15" hidden="false" customHeight="false" outlineLevel="0" collapsed="false">
      <c r="A424" s="11" t="s">
        <v>508</v>
      </c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3"/>
      <c r="R424" s="12"/>
      <c r="S424" s="13"/>
      <c r="T424" s="14"/>
      <c r="U424" s="12"/>
      <c r="V424" s="13"/>
      <c r="W424" s="12"/>
      <c r="X424" s="12"/>
      <c r="Y424" s="12"/>
    </row>
    <row r="425" customFormat="false" ht="15" hidden="false" customHeight="false" outlineLevel="0" collapsed="false">
      <c r="A425" s="11" t="s">
        <v>509</v>
      </c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3"/>
      <c r="R425" s="12"/>
      <c r="S425" s="13"/>
      <c r="T425" s="14"/>
      <c r="U425" s="12"/>
      <c r="V425" s="13"/>
      <c r="W425" s="12"/>
      <c r="X425" s="12"/>
      <c r="Y425" s="12"/>
    </row>
    <row r="426" customFormat="false" ht="15" hidden="false" customHeight="false" outlineLevel="0" collapsed="false">
      <c r="A426" s="11" t="s">
        <v>510</v>
      </c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3"/>
      <c r="R426" s="12"/>
      <c r="S426" s="13"/>
      <c r="T426" s="14"/>
      <c r="U426" s="12"/>
      <c r="V426" s="13"/>
      <c r="W426" s="12"/>
      <c r="X426" s="12"/>
      <c r="Y426" s="12"/>
    </row>
    <row r="427" customFormat="false" ht="15" hidden="false" customHeight="false" outlineLevel="0" collapsed="false">
      <c r="A427" s="11" t="s">
        <v>511</v>
      </c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3"/>
      <c r="R427" s="12"/>
      <c r="S427" s="13"/>
      <c r="T427" s="14"/>
      <c r="U427" s="12"/>
      <c r="V427" s="13"/>
      <c r="W427" s="12"/>
      <c r="X427" s="12"/>
      <c r="Y427" s="12"/>
    </row>
    <row r="428" customFormat="false" ht="15" hidden="false" customHeight="false" outlineLevel="0" collapsed="false">
      <c r="A428" s="11" t="s">
        <v>512</v>
      </c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3"/>
      <c r="R428" s="12"/>
      <c r="S428" s="13"/>
      <c r="T428" s="14"/>
      <c r="U428" s="12"/>
      <c r="V428" s="13"/>
      <c r="W428" s="12"/>
      <c r="X428" s="12"/>
      <c r="Y428" s="12"/>
    </row>
    <row r="429" customFormat="false" ht="15" hidden="false" customHeight="false" outlineLevel="0" collapsed="false">
      <c r="A429" s="11" t="s">
        <v>513</v>
      </c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3"/>
      <c r="R429" s="12"/>
      <c r="S429" s="13"/>
      <c r="T429" s="14"/>
      <c r="U429" s="12"/>
      <c r="V429" s="13"/>
      <c r="W429" s="12"/>
      <c r="X429" s="12"/>
      <c r="Y429" s="12"/>
    </row>
    <row r="430" customFormat="false" ht="15" hidden="false" customHeight="false" outlineLevel="0" collapsed="false">
      <c r="A430" s="11" t="s">
        <v>514</v>
      </c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3"/>
      <c r="R430" s="12"/>
      <c r="S430" s="13"/>
      <c r="T430" s="14"/>
      <c r="U430" s="12"/>
      <c r="V430" s="13"/>
      <c r="W430" s="12"/>
      <c r="X430" s="12"/>
      <c r="Y430" s="12"/>
    </row>
    <row r="431" customFormat="false" ht="15" hidden="false" customHeight="false" outlineLevel="0" collapsed="false">
      <c r="A431" s="11" t="s">
        <v>515</v>
      </c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3"/>
      <c r="R431" s="12"/>
      <c r="S431" s="13"/>
      <c r="T431" s="14"/>
      <c r="U431" s="12"/>
      <c r="V431" s="13"/>
      <c r="W431" s="12"/>
      <c r="X431" s="12"/>
      <c r="Y431" s="12"/>
    </row>
    <row r="432" customFormat="false" ht="15" hidden="false" customHeight="false" outlineLevel="0" collapsed="false">
      <c r="A432" s="11" t="s">
        <v>516</v>
      </c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3"/>
      <c r="R432" s="12"/>
      <c r="S432" s="13"/>
      <c r="T432" s="14"/>
      <c r="U432" s="12"/>
      <c r="V432" s="13"/>
      <c r="W432" s="12"/>
      <c r="X432" s="12"/>
      <c r="Y432" s="12"/>
    </row>
    <row r="433" customFormat="false" ht="15" hidden="false" customHeight="false" outlineLevel="0" collapsed="false">
      <c r="A433" s="11" t="s">
        <v>517</v>
      </c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3"/>
      <c r="R433" s="12"/>
      <c r="S433" s="13"/>
      <c r="T433" s="14"/>
      <c r="U433" s="12"/>
      <c r="V433" s="13"/>
      <c r="W433" s="12"/>
      <c r="X433" s="12"/>
      <c r="Y433" s="12"/>
    </row>
    <row r="434" customFormat="false" ht="15" hidden="false" customHeight="false" outlineLevel="0" collapsed="false">
      <c r="A434" s="11" t="s">
        <v>518</v>
      </c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3"/>
      <c r="R434" s="12"/>
      <c r="S434" s="13"/>
      <c r="T434" s="14"/>
      <c r="U434" s="12"/>
      <c r="V434" s="13"/>
      <c r="W434" s="12"/>
      <c r="X434" s="12"/>
      <c r="Y434" s="12"/>
    </row>
    <row r="435" customFormat="false" ht="15" hidden="false" customHeight="false" outlineLevel="0" collapsed="false">
      <c r="A435" s="11" t="s">
        <v>519</v>
      </c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3"/>
      <c r="R435" s="12"/>
      <c r="S435" s="13"/>
      <c r="T435" s="14"/>
      <c r="U435" s="12"/>
      <c r="V435" s="13"/>
      <c r="W435" s="12"/>
      <c r="X435" s="12"/>
      <c r="Y435" s="12"/>
    </row>
    <row r="436" customFormat="false" ht="15" hidden="false" customHeight="false" outlineLevel="0" collapsed="false">
      <c r="A436" s="11" t="s">
        <v>520</v>
      </c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3"/>
      <c r="R436" s="12"/>
      <c r="S436" s="13"/>
      <c r="T436" s="14"/>
      <c r="U436" s="12"/>
      <c r="V436" s="13"/>
      <c r="W436" s="12"/>
      <c r="X436" s="12"/>
      <c r="Y436" s="12"/>
    </row>
    <row r="437" customFormat="false" ht="15" hidden="false" customHeight="false" outlineLevel="0" collapsed="false">
      <c r="A437" s="11" t="s">
        <v>521</v>
      </c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3"/>
      <c r="R437" s="12"/>
      <c r="S437" s="13"/>
      <c r="T437" s="14"/>
      <c r="U437" s="12"/>
      <c r="V437" s="13"/>
      <c r="W437" s="12"/>
      <c r="X437" s="12"/>
      <c r="Y437" s="12"/>
    </row>
    <row r="438" customFormat="false" ht="15" hidden="false" customHeight="false" outlineLevel="0" collapsed="false">
      <c r="A438" s="11" t="s">
        <v>522</v>
      </c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3"/>
      <c r="R438" s="12"/>
      <c r="S438" s="13"/>
      <c r="T438" s="14"/>
      <c r="U438" s="12"/>
      <c r="V438" s="13"/>
      <c r="W438" s="12"/>
      <c r="X438" s="12"/>
      <c r="Y438" s="12"/>
    </row>
    <row r="439" customFormat="false" ht="15" hidden="false" customHeight="false" outlineLevel="0" collapsed="false">
      <c r="A439" s="11" t="s">
        <v>523</v>
      </c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3"/>
      <c r="R439" s="12"/>
      <c r="S439" s="13"/>
      <c r="T439" s="14"/>
      <c r="U439" s="12"/>
      <c r="V439" s="13"/>
      <c r="W439" s="12"/>
      <c r="X439" s="12"/>
      <c r="Y439" s="12"/>
    </row>
    <row r="440" customFormat="false" ht="15" hidden="false" customHeight="false" outlineLevel="0" collapsed="false">
      <c r="A440" s="11" t="s">
        <v>524</v>
      </c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3"/>
      <c r="R440" s="12"/>
      <c r="S440" s="13"/>
      <c r="T440" s="14"/>
      <c r="U440" s="12"/>
      <c r="V440" s="13"/>
      <c r="W440" s="12"/>
      <c r="X440" s="12"/>
      <c r="Y440" s="12"/>
    </row>
    <row r="441" customFormat="false" ht="15" hidden="false" customHeight="false" outlineLevel="0" collapsed="false">
      <c r="A441" s="11" t="s">
        <v>525</v>
      </c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3"/>
      <c r="R441" s="12"/>
      <c r="S441" s="13"/>
      <c r="T441" s="14"/>
      <c r="U441" s="12"/>
      <c r="V441" s="13"/>
      <c r="W441" s="12"/>
      <c r="X441" s="12"/>
      <c r="Y441" s="12"/>
    </row>
    <row r="442" customFormat="false" ht="15" hidden="false" customHeight="false" outlineLevel="0" collapsed="false">
      <c r="A442" s="11" t="s">
        <v>526</v>
      </c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3"/>
      <c r="R442" s="12"/>
      <c r="S442" s="13"/>
      <c r="T442" s="14"/>
      <c r="U442" s="12"/>
      <c r="V442" s="13"/>
      <c r="W442" s="12"/>
      <c r="X442" s="12"/>
      <c r="Y442" s="12"/>
    </row>
    <row r="443" customFormat="false" ht="15" hidden="false" customHeight="false" outlineLevel="0" collapsed="false">
      <c r="A443" s="11" t="s">
        <v>527</v>
      </c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3"/>
      <c r="R443" s="12"/>
      <c r="S443" s="13"/>
      <c r="T443" s="14"/>
      <c r="U443" s="12"/>
      <c r="V443" s="13"/>
      <c r="W443" s="12"/>
      <c r="X443" s="12"/>
      <c r="Y443" s="12"/>
    </row>
    <row r="444" customFormat="false" ht="15" hidden="false" customHeight="false" outlineLevel="0" collapsed="false">
      <c r="A444" s="11" t="s">
        <v>528</v>
      </c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3"/>
      <c r="R444" s="12"/>
      <c r="S444" s="13"/>
      <c r="T444" s="14"/>
      <c r="U444" s="12"/>
      <c r="V444" s="13"/>
      <c r="W444" s="12"/>
      <c r="X444" s="12"/>
      <c r="Y444" s="12"/>
    </row>
    <row r="445" customFormat="false" ht="15" hidden="false" customHeight="false" outlineLevel="0" collapsed="false">
      <c r="A445" s="11" t="s">
        <v>529</v>
      </c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3"/>
      <c r="R445" s="12"/>
      <c r="S445" s="13"/>
      <c r="T445" s="14"/>
      <c r="U445" s="12"/>
      <c r="V445" s="13"/>
      <c r="W445" s="12"/>
      <c r="X445" s="12"/>
      <c r="Y445" s="12"/>
    </row>
    <row r="446" customFormat="false" ht="15" hidden="false" customHeight="false" outlineLevel="0" collapsed="false">
      <c r="A446" s="11" t="s">
        <v>530</v>
      </c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3"/>
      <c r="R446" s="12"/>
      <c r="S446" s="13"/>
      <c r="T446" s="14"/>
      <c r="U446" s="12"/>
      <c r="V446" s="13"/>
      <c r="W446" s="12"/>
      <c r="X446" s="12"/>
      <c r="Y446" s="12"/>
    </row>
    <row r="447" customFormat="false" ht="15" hidden="false" customHeight="false" outlineLevel="0" collapsed="false">
      <c r="A447" s="11" t="s">
        <v>531</v>
      </c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3"/>
      <c r="R447" s="12"/>
      <c r="S447" s="13"/>
      <c r="T447" s="14"/>
      <c r="U447" s="12"/>
      <c r="V447" s="13"/>
      <c r="W447" s="12"/>
      <c r="X447" s="12"/>
      <c r="Y447" s="12"/>
    </row>
    <row r="448" customFormat="false" ht="15" hidden="false" customHeight="false" outlineLevel="0" collapsed="false">
      <c r="A448" s="11" t="s">
        <v>532</v>
      </c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3"/>
      <c r="R448" s="12"/>
      <c r="S448" s="13"/>
      <c r="T448" s="14"/>
      <c r="U448" s="12"/>
      <c r="V448" s="13"/>
      <c r="W448" s="12"/>
      <c r="X448" s="12"/>
      <c r="Y448" s="12"/>
    </row>
    <row r="449" customFormat="false" ht="15" hidden="false" customHeight="false" outlineLevel="0" collapsed="false">
      <c r="A449" s="11" t="s">
        <v>533</v>
      </c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3"/>
      <c r="R449" s="12"/>
      <c r="S449" s="13"/>
      <c r="T449" s="14"/>
      <c r="U449" s="12"/>
      <c r="V449" s="13"/>
      <c r="W449" s="12"/>
      <c r="X449" s="12"/>
      <c r="Y449" s="12"/>
    </row>
    <row r="450" customFormat="false" ht="15" hidden="false" customHeight="false" outlineLevel="0" collapsed="false">
      <c r="A450" s="11" t="s">
        <v>534</v>
      </c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3"/>
      <c r="R450" s="12"/>
      <c r="S450" s="13"/>
      <c r="T450" s="14"/>
      <c r="U450" s="12"/>
      <c r="V450" s="13"/>
      <c r="W450" s="12"/>
      <c r="X450" s="12"/>
      <c r="Y450" s="12"/>
    </row>
    <row r="451" customFormat="false" ht="15" hidden="false" customHeight="false" outlineLevel="0" collapsed="false">
      <c r="A451" s="11" t="s">
        <v>535</v>
      </c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3"/>
      <c r="R451" s="12"/>
      <c r="S451" s="13"/>
      <c r="T451" s="14"/>
      <c r="U451" s="12"/>
      <c r="V451" s="13"/>
      <c r="W451" s="12"/>
      <c r="X451" s="12"/>
      <c r="Y451" s="12"/>
    </row>
    <row r="452" customFormat="false" ht="15" hidden="false" customHeight="false" outlineLevel="0" collapsed="false">
      <c r="A452" s="11" t="s">
        <v>536</v>
      </c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3"/>
      <c r="R452" s="12"/>
      <c r="S452" s="13"/>
      <c r="T452" s="14"/>
      <c r="U452" s="12"/>
      <c r="V452" s="13"/>
      <c r="W452" s="12"/>
      <c r="X452" s="12"/>
      <c r="Y452" s="12"/>
    </row>
    <row r="453" customFormat="false" ht="15" hidden="false" customHeight="false" outlineLevel="0" collapsed="false">
      <c r="A453" s="11" t="s">
        <v>537</v>
      </c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3"/>
      <c r="R453" s="12"/>
      <c r="S453" s="13"/>
      <c r="T453" s="14"/>
      <c r="U453" s="12"/>
      <c r="V453" s="13"/>
      <c r="W453" s="12"/>
      <c r="X453" s="12"/>
      <c r="Y453" s="12"/>
    </row>
    <row r="454" customFormat="false" ht="15" hidden="false" customHeight="false" outlineLevel="0" collapsed="false">
      <c r="A454" s="11" t="s">
        <v>538</v>
      </c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3"/>
      <c r="R454" s="12"/>
      <c r="S454" s="13"/>
      <c r="T454" s="14"/>
      <c r="U454" s="12"/>
      <c r="V454" s="13"/>
      <c r="W454" s="12"/>
      <c r="X454" s="12"/>
      <c r="Y454" s="12"/>
    </row>
    <row r="455" customFormat="false" ht="15" hidden="false" customHeight="false" outlineLevel="0" collapsed="false">
      <c r="A455" s="11" t="s">
        <v>539</v>
      </c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3"/>
      <c r="R455" s="12"/>
      <c r="S455" s="13"/>
      <c r="T455" s="14"/>
      <c r="U455" s="12"/>
      <c r="V455" s="13"/>
      <c r="W455" s="12"/>
      <c r="X455" s="12"/>
      <c r="Y455" s="12"/>
    </row>
    <row r="456" customFormat="false" ht="15" hidden="false" customHeight="false" outlineLevel="0" collapsed="false">
      <c r="A456" s="11" t="s">
        <v>540</v>
      </c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3"/>
      <c r="R456" s="12"/>
      <c r="S456" s="13"/>
      <c r="T456" s="14"/>
      <c r="U456" s="12"/>
      <c r="V456" s="13"/>
      <c r="W456" s="12"/>
      <c r="X456" s="12"/>
      <c r="Y456" s="12"/>
    </row>
    <row r="457" customFormat="false" ht="15" hidden="false" customHeight="false" outlineLevel="0" collapsed="false">
      <c r="A457" s="11" t="s">
        <v>541</v>
      </c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3"/>
      <c r="R457" s="12"/>
      <c r="S457" s="13"/>
      <c r="T457" s="14"/>
      <c r="U457" s="12"/>
      <c r="V457" s="13"/>
      <c r="W457" s="12"/>
      <c r="X457" s="12"/>
      <c r="Y457" s="12"/>
    </row>
    <row r="458" customFormat="false" ht="15" hidden="false" customHeight="false" outlineLevel="0" collapsed="false">
      <c r="A458" s="11" t="s">
        <v>542</v>
      </c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3"/>
      <c r="R458" s="12"/>
      <c r="S458" s="13"/>
      <c r="T458" s="14"/>
      <c r="U458" s="12"/>
      <c r="V458" s="13"/>
      <c r="W458" s="12"/>
      <c r="X458" s="12"/>
      <c r="Y458" s="12"/>
    </row>
    <row r="459" customFormat="false" ht="15" hidden="false" customHeight="false" outlineLevel="0" collapsed="false">
      <c r="A459" s="11" t="s">
        <v>543</v>
      </c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3"/>
      <c r="R459" s="12"/>
      <c r="S459" s="13"/>
      <c r="T459" s="14"/>
      <c r="U459" s="12"/>
      <c r="V459" s="13"/>
      <c r="W459" s="12"/>
      <c r="X459" s="12"/>
      <c r="Y459" s="12"/>
    </row>
    <row r="460" customFormat="false" ht="15" hidden="false" customHeight="false" outlineLevel="0" collapsed="false">
      <c r="A460" s="11" t="s">
        <v>544</v>
      </c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3"/>
      <c r="R460" s="12"/>
      <c r="S460" s="13"/>
      <c r="T460" s="14"/>
      <c r="U460" s="12"/>
      <c r="V460" s="13"/>
      <c r="W460" s="12"/>
      <c r="X460" s="12"/>
      <c r="Y460" s="12"/>
    </row>
    <row r="461" customFormat="false" ht="15" hidden="false" customHeight="false" outlineLevel="0" collapsed="false">
      <c r="A461" s="11" t="s">
        <v>545</v>
      </c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3"/>
      <c r="R461" s="12"/>
      <c r="S461" s="13"/>
      <c r="T461" s="14"/>
      <c r="U461" s="12"/>
      <c r="V461" s="13"/>
      <c r="W461" s="12"/>
      <c r="X461" s="12"/>
      <c r="Y461" s="12"/>
    </row>
    <row r="462" customFormat="false" ht="15" hidden="false" customHeight="false" outlineLevel="0" collapsed="false">
      <c r="A462" s="11" t="s">
        <v>546</v>
      </c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3"/>
      <c r="R462" s="12"/>
      <c r="S462" s="13"/>
      <c r="T462" s="14"/>
      <c r="U462" s="12"/>
      <c r="V462" s="13"/>
      <c r="W462" s="12"/>
      <c r="X462" s="12"/>
      <c r="Y462" s="12"/>
    </row>
    <row r="463" customFormat="false" ht="15" hidden="false" customHeight="false" outlineLevel="0" collapsed="false">
      <c r="A463" s="11" t="s">
        <v>547</v>
      </c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3"/>
      <c r="R463" s="12"/>
      <c r="S463" s="13"/>
      <c r="T463" s="14"/>
      <c r="U463" s="12"/>
      <c r="V463" s="13"/>
      <c r="W463" s="12"/>
      <c r="X463" s="12"/>
      <c r="Y463" s="12"/>
    </row>
    <row r="464" customFormat="false" ht="15" hidden="false" customHeight="false" outlineLevel="0" collapsed="false">
      <c r="A464" s="11" t="s">
        <v>548</v>
      </c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3"/>
      <c r="R464" s="12"/>
      <c r="S464" s="13"/>
      <c r="T464" s="14"/>
      <c r="U464" s="12"/>
      <c r="V464" s="13"/>
      <c r="W464" s="12"/>
      <c r="X464" s="12"/>
      <c r="Y464" s="12"/>
    </row>
    <row r="465" customFormat="false" ht="15" hidden="false" customHeight="false" outlineLevel="0" collapsed="false">
      <c r="A465" s="11" t="s">
        <v>549</v>
      </c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3"/>
      <c r="R465" s="12"/>
      <c r="S465" s="13"/>
      <c r="T465" s="14"/>
      <c r="U465" s="12"/>
      <c r="V465" s="13"/>
      <c r="W465" s="12"/>
      <c r="X465" s="12"/>
      <c r="Y465" s="12"/>
    </row>
    <row r="466" customFormat="false" ht="15" hidden="false" customHeight="false" outlineLevel="0" collapsed="false">
      <c r="A466" s="11" t="s">
        <v>550</v>
      </c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3"/>
      <c r="R466" s="12"/>
      <c r="S466" s="13"/>
      <c r="T466" s="14"/>
      <c r="U466" s="12"/>
      <c r="V466" s="13"/>
      <c r="W466" s="12"/>
      <c r="X466" s="12"/>
      <c r="Y466" s="12"/>
    </row>
    <row r="467" customFormat="false" ht="15" hidden="false" customHeight="false" outlineLevel="0" collapsed="false">
      <c r="A467" s="11" t="s">
        <v>551</v>
      </c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3"/>
      <c r="R467" s="12"/>
      <c r="S467" s="13"/>
      <c r="T467" s="14"/>
      <c r="U467" s="12"/>
      <c r="V467" s="13"/>
      <c r="W467" s="12"/>
      <c r="X467" s="12"/>
      <c r="Y467" s="12"/>
    </row>
    <row r="468" customFormat="false" ht="15" hidden="false" customHeight="false" outlineLevel="0" collapsed="false">
      <c r="A468" s="11" t="s">
        <v>552</v>
      </c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3"/>
      <c r="R468" s="12"/>
      <c r="S468" s="13"/>
      <c r="T468" s="14"/>
      <c r="U468" s="12"/>
      <c r="V468" s="13"/>
      <c r="W468" s="12"/>
      <c r="X468" s="12"/>
      <c r="Y468" s="12"/>
    </row>
    <row r="469" customFormat="false" ht="15" hidden="false" customHeight="false" outlineLevel="0" collapsed="false">
      <c r="A469" s="11" t="s">
        <v>553</v>
      </c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3"/>
      <c r="R469" s="12"/>
      <c r="S469" s="13"/>
      <c r="T469" s="14"/>
      <c r="U469" s="12"/>
      <c r="V469" s="13"/>
      <c r="W469" s="12"/>
      <c r="X469" s="12"/>
      <c r="Y469" s="12"/>
    </row>
    <row r="470" customFormat="false" ht="15" hidden="false" customHeight="false" outlineLevel="0" collapsed="false">
      <c r="A470" s="11" t="s">
        <v>554</v>
      </c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3"/>
      <c r="R470" s="12"/>
      <c r="S470" s="13"/>
      <c r="T470" s="14"/>
      <c r="U470" s="12"/>
      <c r="V470" s="13"/>
      <c r="W470" s="12"/>
      <c r="X470" s="12"/>
      <c r="Y470" s="12"/>
    </row>
    <row r="471" customFormat="false" ht="15" hidden="false" customHeight="false" outlineLevel="0" collapsed="false">
      <c r="A471" s="11" t="s">
        <v>555</v>
      </c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3"/>
      <c r="R471" s="12"/>
      <c r="S471" s="13"/>
      <c r="T471" s="14"/>
      <c r="U471" s="12"/>
      <c r="V471" s="13"/>
      <c r="W471" s="12"/>
      <c r="X471" s="12"/>
      <c r="Y471" s="12"/>
    </row>
    <row r="472" customFormat="false" ht="15" hidden="false" customHeight="false" outlineLevel="0" collapsed="false">
      <c r="A472" s="11" t="s">
        <v>556</v>
      </c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3"/>
      <c r="R472" s="12"/>
      <c r="S472" s="13"/>
      <c r="T472" s="14"/>
      <c r="U472" s="12"/>
      <c r="V472" s="13"/>
      <c r="W472" s="12"/>
      <c r="X472" s="12"/>
      <c r="Y472" s="12"/>
    </row>
    <row r="473" customFormat="false" ht="15" hidden="false" customHeight="false" outlineLevel="0" collapsed="false">
      <c r="A473" s="11" t="s">
        <v>557</v>
      </c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3"/>
      <c r="R473" s="12"/>
      <c r="S473" s="13"/>
      <c r="T473" s="14"/>
      <c r="U473" s="12"/>
      <c r="V473" s="13"/>
      <c r="W473" s="12"/>
      <c r="X473" s="12"/>
      <c r="Y473" s="12"/>
    </row>
    <row r="474" customFormat="false" ht="15" hidden="false" customHeight="false" outlineLevel="0" collapsed="false">
      <c r="A474" s="11" t="s">
        <v>558</v>
      </c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3"/>
      <c r="R474" s="12"/>
      <c r="S474" s="13"/>
      <c r="T474" s="14"/>
      <c r="U474" s="12"/>
      <c r="V474" s="13"/>
      <c r="W474" s="12"/>
      <c r="X474" s="12"/>
      <c r="Y474" s="12"/>
    </row>
    <row r="475" customFormat="false" ht="15" hidden="false" customHeight="false" outlineLevel="0" collapsed="false">
      <c r="A475" s="11" t="s">
        <v>559</v>
      </c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3"/>
      <c r="R475" s="12"/>
      <c r="S475" s="13"/>
      <c r="T475" s="14"/>
      <c r="U475" s="12"/>
      <c r="V475" s="13"/>
      <c r="W475" s="12"/>
      <c r="X475" s="12"/>
      <c r="Y475" s="12"/>
    </row>
    <row r="476" customFormat="false" ht="15" hidden="false" customHeight="false" outlineLevel="0" collapsed="false">
      <c r="A476" s="11" t="s">
        <v>560</v>
      </c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3"/>
      <c r="R476" s="12"/>
      <c r="S476" s="13"/>
      <c r="T476" s="14"/>
      <c r="U476" s="12"/>
      <c r="V476" s="13"/>
      <c r="W476" s="12"/>
      <c r="X476" s="12"/>
      <c r="Y476" s="12"/>
    </row>
    <row r="477" customFormat="false" ht="15" hidden="false" customHeight="false" outlineLevel="0" collapsed="false">
      <c r="A477" s="11" t="s">
        <v>561</v>
      </c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3"/>
      <c r="R477" s="12"/>
      <c r="S477" s="13"/>
      <c r="T477" s="14"/>
      <c r="U477" s="12"/>
      <c r="V477" s="13"/>
      <c r="W477" s="12"/>
      <c r="X477" s="12"/>
      <c r="Y477" s="12"/>
    </row>
    <row r="478" customFormat="false" ht="15" hidden="false" customHeight="false" outlineLevel="0" collapsed="false">
      <c r="A478" s="11" t="s">
        <v>562</v>
      </c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3"/>
      <c r="R478" s="12"/>
      <c r="S478" s="13"/>
      <c r="T478" s="14"/>
      <c r="U478" s="12"/>
      <c r="V478" s="13"/>
      <c r="W478" s="12"/>
      <c r="X478" s="12"/>
      <c r="Y478" s="12"/>
    </row>
    <row r="479" customFormat="false" ht="15" hidden="false" customHeight="false" outlineLevel="0" collapsed="false">
      <c r="A479" s="11" t="s">
        <v>563</v>
      </c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3"/>
      <c r="R479" s="12"/>
      <c r="S479" s="13"/>
      <c r="T479" s="14"/>
      <c r="U479" s="12"/>
      <c r="V479" s="13"/>
      <c r="W479" s="12"/>
      <c r="X479" s="12"/>
      <c r="Y479" s="12"/>
    </row>
    <row r="480" customFormat="false" ht="15" hidden="false" customHeight="false" outlineLevel="0" collapsed="false">
      <c r="A480" s="11" t="s">
        <v>564</v>
      </c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3"/>
      <c r="R480" s="12"/>
      <c r="S480" s="13"/>
      <c r="T480" s="14"/>
      <c r="U480" s="12"/>
      <c r="V480" s="13"/>
      <c r="W480" s="12"/>
      <c r="X480" s="12"/>
      <c r="Y480" s="12"/>
    </row>
    <row r="481" customFormat="false" ht="15" hidden="false" customHeight="false" outlineLevel="0" collapsed="false">
      <c r="A481" s="11" t="s">
        <v>565</v>
      </c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3"/>
      <c r="R481" s="12"/>
      <c r="S481" s="13"/>
      <c r="T481" s="14"/>
      <c r="U481" s="12"/>
      <c r="V481" s="13"/>
      <c r="W481" s="12"/>
      <c r="X481" s="12"/>
      <c r="Y481" s="12"/>
    </row>
    <row r="482" customFormat="false" ht="15" hidden="false" customHeight="false" outlineLevel="0" collapsed="false">
      <c r="A482" s="11" t="s">
        <v>566</v>
      </c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3"/>
      <c r="R482" s="12"/>
      <c r="S482" s="13"/>
      <c r="T482" s="14"/>
      <c r="U482" s="12"/>
      <c r="V482" s="13"/>
      <c r="W482" s="12"/>
      <c r="X482" s="12"/>
      <c r="Y482" s="12"/>
    </row>
    <row r="483" customFormat="false" ht="15" hidden="false" customHeight="false" outlineLevel="0" collapsed="false">
      <c r="A483" s="11" t="s">
        <v>567</v>
      </c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3"/>
      <c r="R483" s="12"/>
      <c r="S483" s="13"/>
      <c r="T483" s="14"/>
      <c r="U483" s="12"/>
      <c r="V483" s="13"/>
      <c r="W483" s="12"/>
      <c r="X483" s="12"/>
      <c r="Y483" s="12"/>
    </row>
    <row r="484" customFormat="false" ht="15" hidden="false" customHeight="false" outlineLevel="0" collapsed="false">
      <c r="A484" s="11" t="s">
        <v>568</v>
      </c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3"/>
      <c r="R484" s="12"/>
      <c r="S484" s="13"/>
      <c r="T484" s="14"/>
      <c r="U484" s="12"/>
      <c r="V484" s="13"/>
      <c r="W484" s="12"/>
      <c r="X484" s="12"/>
      <c r="Y484" s="12"/>
    </row>
    <row r="485" customFormat="false" ht="15" hidden="false" customHeight="false" outlineLevel="0" collapsed="false">
      <c r="A485" s="11" t="s">
        <v>569</v>
      </c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3"/>
      <c r="R485" s="12"/>
      <c r="S485" s="13"/>
      <c r="T485" s="14"/>
      <c r="U485" s="12"/>
      <c r="V485" s="13"/>
      <c r="W485" s="12"/>
      <c r="X485" s="12"/>
      <c r="Y485" s="12"/>
    </row>
    <row r="486" customFormat="false" ht="15" hidden="false" customHeight="false" outlineLevel="0" collapsed="false">
      <c r="A486" s="11" t="s">
        <v>570</v>
      </c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3"/>
      <c r="R486" s="12"/>
      <c r="S486" s="13"/>
      <c r="T486" s="14"/>
      <c r="U486" s="12"/>
      <c r="V486" s="13"/>
      <c r="W486" s="12"/>
      <c r="X486" s="12"/>
      <c r="Y486" s="12"/>
    </row>
    <row r="487" customFormat="false" ht="15" hidden="false" customHeight="false" outlineLevel="0" collapsed="false">
      <c r="A487" s="11" t="s">
        <v>571</v>
      </c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3"/>
      <c r="R487" s="12"/>
      <c r="S487" s="13"/>
      <c r="T487" s="14"/>
      <c r="U487" s="12"/>
      <c r="V487" s="13"/>
      <c r="W487" s="12"/>
      <c r="X487" s="12"/>
      <c r="Y487" s="12"/>
    </row>
    <row r="488" customFormat="false" ht="15" hidden="false" customHeight="false" outlineLevel="0" collapsed="false">
      <c r="A488" s="11" t="s">
        <v>572</v>
      </c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3"/>
      <c r="R488" s="12"/>
      <c r="S488" s="13"/>
      <c r="T488" s="14"/>
      <c r="U488" s="12"/>
      <c r="V488" s="13"/>
      <c r="W488" s="12"/>
      <c r="X488" s="12"/>
      <c r="Y488" s="12"/>
    </row>
    <row r="489" customFormat="false" ht="15" hidden="false" customHeight="false" outlineLevel="0" collapsed="false">
      <c r="A489" s="11" t="s">
        <v>573</v>
      </c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3"/>
      <c r="R489" s="12"/>
      <c r="S489" s="13"/>
      <c r="T489" s="14"/>
      <c r="U489" s="12"/>
      <c r="V489" s="13"/>
      <c r="W489" s="12"/>
      <c r="X489" s="12"/>
      <c r="Y489" s="12"/>
    </row>
    <row r="490" customFormat="false" ht="15" hidden="false" customHeight="false" outlineLevel="0" collapsed="false">
      <c r="A490" s="11" t="s">
        <v>574</v>
      </c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3"/>
      <c r="R490" s="12"/>
      <c r="S490" s="13"/>
      <c r="T490" s="14"/>
      <c r="U490" s="12"/>
      <c r="V490" s="13"/>
      <c r="W490" s="12"/>
      <c r="X490" s="12"/>
      <c r="Y490" s="12"/>
    </row>
    <row r="491" customFormat="false" ht="15" hidden="false" customHeight="false" outlineLevel="0" collapsed="false">
      <c r="A491" s="11" t="s">
        <v>575</v>
      </c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3"/>
      <c r="R491" s="12"/>
      <c r="S491" s="13"/>
      <c r="T491" s="14"/>
      <c r="U491" s="12"/>
      <c r="V491" s="13"/>
      <c r="W491" s="12"/>
      <c r="X491" s="12"/>
      <c r="Y491" s="12"/>
    </row>
    <row r="492" customFormat="false" ht="15" hidden="false" customHeight="false" outlineLevel="0" collapsed="false">
      <c r="A492" s="11" t="s">
        <v>576</v>
      </c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3"/>
      <c r="R492" s="12"/>
      <c r="S492" s="13"/>
      <c r="T492" s="14"/>
      <c r="U492" s="12"/>
      <c r="V492" s="13"/>
      <c r="W492" s="12"/>
      <c r="X492" s="12"/>
      <c r="Y492" s="12"/>
    </row>
    <row r="493" customFormat="false" ht="15" hidden="false" customHeight="false" outlineLevel="0" collapsed="false">
      <c r="A493" s="11" t="s">
        <v>577</v>
      </c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3"/>
      <c r="R493" s="12"/>
      <c r="S493" s="13"/>
      <c r="T493" s="14"/>
      <c r="U493" s="12"/>
      <c r="V493" s="13"/>
      <c r="W493" s="12"/>
      <c r="X493" s="12"/>
      <c r="Y493" s="12"/>
    </row>
    <row r="494" customFormat="false" ht="15" hidden="false" customHeight="false" outlineLevel="0" collapsed="false">
      <c r="A494" s="11" t="s">
        <v>578</v>
      </c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3"/>
      <c r="R494" s="12"/>
      <c r="S494" s="13"/>
      <c r="T494" s="14"/>
      <c r="U494" s="12"/>
      <c r="V494" s="13"/>
      <c r="W494" s="12"/>
      <c r="X494" s="12"/>
      <c r="Y494" s="12"/>
    </row>
    <row r="495" customFormat="false" ht="15" hidden="false" customHeight="false" outlineLevel="0" collapsed="false">
      <c r="A495" s="11" t="s">
        <v>579</v>
      </c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3"/>
      <c r="R495" s="12"/>
      <c r="S495" s="13"/>
      <c r="T495" s="14"/>
      <c r="U495" s="12"/>
      <c r="V495" s="13"/>
      <c r="W495" s="12"/>
      <c r="X495" s="12"/>
      <c r="Y495" s="12"/>
    </row>
    <row r="496" customFormat="false" ht="15" hidden="false" customHeight="false" outlineLevel="0" collapsed="false">
      <c r="A496" s="11" t="s">
        <v>580</v>
      </c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3"/>
      <c r="R496" s="12"/>
      <c r="S496" s="13"/>
      <c r="T496" s="14"/>
      <c r="U496" s="12"/>
      <c r="V496" s="13"/>
      <c r="W496" s="12"/>
      <c r="X496" s="12"/>
      <c r="Y496" s="12"/>
    </row>
    <row r="497" customFormat="false" ht="15" hidden="false" customHeight="false" outlineLevel="0" collapsed="false">
      <c r="A497" s="11" t="s">
        <v>581</v>
      </c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3"/>
      <c r="R497" s="12"/>
      <c r="S497" s="13"/>
      <c r="T497" s="14"/>
      <c r="U497" s="12"/>
      <c r="V497" s="13"/>
      <c r="W497" s="12"/>
      <c r="X497" s="12"/>
      <c r="Y497" s="12"/>
    </row>
    <row r="498" customFormat="false" ht="15" hidden="false" customHeight="false" outlineLevel="0" collapsed="false">
      <c r="A498" s="11" t="s">
        <v>582</v>
      </c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3"/>
      <c r="R498" s="12"/>
      <c r="S498" s="13"/>
      <c r="T498" s="14"/>
      <c r="U498" s="12"/>
      <c r="V498" s="13"/>
      <c r="W498" s="12"/>
      <c r="X498" s="12"/>
      <c r="Y498" s="12"/>
    </row>
    <row r="499" customFormat="false" ht="15" hidden="false" customHeight="false" outlineLevel="0" collapsed="false">
      <c r="A499" s="11" t="s">
        <v>583</v>
      </c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3"/>
      <c r="R499" s="12"/>
      <c r="S499" s="13"/>
      <c r="T499" s="14"/>
      <c r="U499" s="12"/>
      <c r="V499" s="13"/>
      <c r="W499" s="12"/>
      <c r="X499" s="12"/>
      <c r="Y499" s="12"/>
    </row>
    <row r="500" customFormat="false" ht="15" hidden="false" customHeight="false" outlineLevel="0" collapsed="false">
      <c r="A500" s="11" t="s">
        <v>584</v>
      </c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3"/>
      <c r="R500" s="12"/>
      <c r="S500" s="13"/>
      <c r="T500" s="14"/>
      <c r="U500" s="12"/>
      <c r="V500" s="13"/>
      <c r="W500" s="12"/>
      <c r="X500" s="12"/>
      <c r="Y500" s="12"/>
    </row>
    <row r="501" customFormat="false" ht="15" hidden="false" customHeight="false" outlineLevel="0" collapsed="false">
      <c r="A501" s="11" t="s">
        <v>585</v>
      </c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3"/>
      <c r="R501" s="12"/>
      <c r="S501" s="13"/>
      <c r="T501" s="14"/>
      <c r="U501" s="12"/>
      <c r="V501" s="13"/>
      <c r="W501" s="12"/>
      <c r="X501" s="12"/>
      <c r="Y501" s="12"/>
    </row>
    <row r="502" customFormat="false" ht="15" hidden="false" customHeight="false" outlineLevel="0" collapsed="false">
      <c r="A502" s="11" t="s">
        <v>586</v>
      </c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3"/>
      <c r="R502" s="12"/>
      <c r="S502" s="13"/>
      <c r="T502" s="14"/>
      <c r="U502" s="12"/>
      <c r="V502" s="13"/>
      <c r="W502" s="12"/>
      <c r="X502" s="12"/>
      <c r="Y502" s="12"/>
    </row>
    <row r="503" customFormat="false" ht="15" hidden="false" customHeight="false" outlineLevel="0" collapsed="false">
      <c r="A503" s="11" t="s">
        <v>587</v>
      </c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3"/>
      <c r="R503" s="12"/>
      <c r="S503" s="13"/>
      <c r="T503" s="14"/>
      <c r="U503" s="12"/>
      <c r="V503" s="13"/>
      <c r="W503" s="12"/>
      <c r="X503" s="12"/>
      <c r="Y503" s="12"/>
    </row>
    <row r="504" customFormat="false" ht="15" hidden="false" customHeight="false" outlineLevel="0" collapsed="false">
      <c r="A504" s="11" t="s">
        <v>588</v>
      </c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3"/>
      <c r="R504" s="12"/>
      <c r="S504" s="13"/>
      <c r="T504" s="14"/>
      <c r="U504" s="12"/>
      <c r="V504" s="13"/>
      <c r="W504" s="12"/>
      <c r="X504" s="12"/>
      <c r="Y504" s="12"/>
    </row>
    <row r="505" customFormat="false" ht="15" hidden="false" customHeight="false" outlineLevel="0" collapsed="false">
      <c r="A505" s="11" t="s">
        <v>589</v>
      </c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3"/>
      <c r="R505" s="12"/>
      <c r="S505" s="13"/>
      <c r="T505" s="14"/>
      <c r="U505" s="12"/>
      <c r="V505" s="13"/>
      <c r="W505" s="12"/>
      <c r="X505" s="12"/>
      <c r="Y505" s="12"/>
    </row>
    <row r="506" customFormat="false" ht="15" hidden="false" customHeight="false" outlineLevel="0" collapsed="false">
      <c r="A506" s="11" t="s">
        <v>590</v>
      </c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3"/>
      <c r="R506" s="12"/>
      <c r="S506" s="13"/>
      <c r="T506" s="14"/>
      <c r="U506" s="12"/>
      <c r="V506" s="13"/>
      <c r="W506" s="12"/>
      <c r="X506" s="12"/>
      <c r="Y506" s="12"/>
    </row>
    <row r="507" customFormat="false" ht="15" hidden="false" customHeight="false" outlineLevel="0" collapsed="false">
      <c r="A507" s="11" t="s">
        <v>591</v>
      </c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3"/>
      <c r="R507" s="12"/>
      <c r="S507" s="13"/>
      <c r="T507" s="14"/>
      <c r="U507" s="12"/>
      <c r="V507" s="13"/>
      <c r="W507" s="12"/>
      <c r="X507" s="12"/>
      <c r="Y507" s="12"/>
    </row>
    <row r="508" customFormat="false" ht="15" hidden="false" customHeight="false" outlineLevel="0" collapsed="false">
      <c r="A508" s="11" t="s">
        <v>592</v>
      </c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3"/>
      <c r="R508" s="12"/>
      <c r="S508" s="13"/>
      <c r="T508" s="14"/>
      <c r="U508" s="12"/>
      <c r="V508" s="13"/>
      <c r="W508" s="12"/>
      <c r="X508" s="12"/>
      <c r="Y508" s="12"/>
    </row>
    <row r="509" customFormat="false" ht="15" hidden="false" customHeight="false" outlineLevel="0" collapsed="false">
      <c r="A509" s="11" t="s">
        <v>593</v>
      </c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3"/>
      <c r="R509" s="12"/>
      <c r="S509" s="13"/>
      <c r="T509" s="14"/>
      <c r="U509" s="12"/>
      <c r="V509" s="13"/>
      <c r="W509" s="12"/>
      <c r="X509" s="12"/>
      <c r="Y509" s="12"/>
    </row>
    <row r="510" customFormat="false" ht="15" hidden="false" customHeight="false" outlineLevel="0" collapsed="false">
      <c r="A510" s="11" t="s">
        <v>594</v>
      </c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3"/>
      <c r="R510" s="12"/>
      <c r="S510" s="13"/>
      <c r="T510" s="14"/>
      <c r="U510" s="12"/>
      <c r="V510" s="13"/>
      <c r="W510" s="12"/>
      <c r="X510" s="12"/>
      <c r="Y510" s="12"/>
    </row>
    <row r="511" customFormat="false" ht="15" hidden="false" customHeight="false" outlineLevel="0" collapsed="false">
      <c r="A511" s="11" t="s">
        <v>595</v>
      </c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3"/>
      <c r="R511" s="12"/>
      <c r="S511" s="13"/>
      <c r="T511" s="14"/>
      <c r="U511" s="12"/>
      <c r="V511" s="13"/>
      <c r="W511" s="12"/>
      <c r="X511" s="12"/>
      <c r="Y511" s="12"/>
    </row>
    <row r="512" customFormat="false" ht="15" hidden="false" customHeight="false" outlineLevel="0" collapsed="false">
      <c r="A512" s="11" t="s">
        <v>596</v>
      </c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3"/>
      <c r="R512" s="12"/>
      <c r="S512" s="13"/>
      <c r="T512" s="14"/>
      <c r="U512" s="12"/>
      <c r="V512" s="13"/>
      <c r="W512" s="12"/>
      <c r="X512" s="12"/>
      <c r="Y512" s="12"/>
    </row>
    <row r="513" customFormat="false" ht="15" hidden="false" customHeight="false" outlineLevel="0" collapsed="false">
      <c r="A513" s="11" t="s">
        <v>597</v>
      </c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3"/>
      <c r="R513" s="12"/>
      <c r="S513" s="13"/>
      <c r="T513" s="14"/>
      <c r="U513" s="12"/>
      <c r="V513" s="13"/>
      <c r="W513" s="12"/>
      <c r="X513" s="12"/>
      <c r="Y513" s="12"/>
    </row>
    <row r="514" customFormat="false" ht="15" hidden="false" customHeight="false" outlineLevel="0" collapsed="false">
      <c r="A514" s="11" t="s">
        <v>598</v>
      </c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3"/>
      <c r="R514" s="12"/>
      <c r="S514" s="13"/>
      <c r="T514" s="14"/>
      <c r="U514" s="12"/>
      <c r="V514" s="13"/>
      <c r="W514" s="12"/>
      <c r="X514" s="12"/>
      <c r="Y514" s="12"/>
    </row>
    <row r="515" customFormat="false" ht="15" hidden="false" customHeight="false" outlineLevel="0" collapsed="false">
      <c r="A515" s="11" t="s">
        <v>599</v>
      </c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3"/>
      <c r="R515" s="12"/>
      <c r="S515" s="13"/>
      <c r="T515" s="14"/>
      <c r="U515" s="12"/>
      <c r="V515" s="13"/>
      <c r="W515" s="12"/>
      <c r="X515" s="12"/>
      <c r="Y515" s="12"/>
    </row>
    <row r="516" customFormat="false" ht="15" hidden="false" customHeight="false" outlineLevel="0" collapsed="false">
      <c r="A516" s="11" t="s">
        <v>600</v>
      </c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3"/>
      <c r="R516" s="12"/>
      <c r="S516" s="13"/>
      <c r="T516" s="14"/>
      <c r="U516" s="12"/>
      <c r="V516" s="13"/>
      <c r="W516" s="12"/>
      <c r="X516" s="12"/>
      <c r="Y516" s="12"/>
    </row>
    <row r="517" customFormat="false" ht="15" hidden="false" customHeight="false" outlineLevel="0" collapsed="false">
      <c r="A517" s="11" t="s">
        <v>601</v>
      </c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3"/>
      <c r="R517" s="12"/>
      <c r="S517" s="13"/>
      <c r="T517" s="14"/>
      <c r="U517" s="12"/>
      <c r="V517" s="13"/>
      <c r="W517" s="12"/>
      <c r="X517" s="12"/>
      <c r="Y517" s="12"/>
    </row>
    <row r="518" customFormat="false" ht="15" hidden="false" customHeight="false" outlineLevel="0" collapsed="false">
      <c r="A518" s="11" t="s">
        <v>602</v>
      </c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3"/>
      <c r="R518" s="12"/>
      <c r="S518" s="13"/>
      <c r="T518" s="14"/>
      <c r="U518" s="12"/>
      <c r="V518" s="13"/>
      <c r="W518" s="12"/>
      <c r="X518" s="12"/>
      <c r="Y518" s="12"/>
    </row>
    <row r="519" customFormat="false" ht="15" hidden="false" customHeight="false" outlineLevel="0" collapsed="false">
      <c r="A519" s="11" t="s">
        <v>603</v>
      </c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3"/>
      <c r="R519" s="12"/>
      <c r="S519" s="13"/>
      <c r="T519" s="14"/>
      <c r="U519" s="12"/>
      <c r="V519" s="13"/>
      <c r="W519" s="12"/>
      <c r="X519" s="12"/>
      <c r="Y519" s="12"/>
    </row>
    <row r="520" customFormat="false" ht="15" hidden="false" customHeight="false" outlineLevel="0" collapsed="false">
      <c r="A520" s="11" t="s">
        <v>604</v>
      </c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3"/>
      <c r="R520" s="12"/>
      <c r="S520" s="13"/>
      <c r="T520" s="14"/>
      <c r="U520" s="12"/>
      <c r="V520" s="13"/>
      <c r="W520" s="12"/>
      <c r="X520" s="12"/>
      <c r="Y520" s="12"/>
    </row>
    <row r="521" customFormat="false" ht="15" hidden="false" customHeight="false" outlineLevel="0" collapsed="false">
      <c r="A521" s="11" t="s">
        <v>605</v>
      </c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3"/>
      <c r="R521" s="12"/>
      <c r="S521" s="13"/>
      <c r="T521" s="14"/>
      <c r="U521" s="12"/>
      <c r="V521" s="13"/>
      <c r="W521" s="12"/>
      <c r="X521" s="12"/>
      <c r="Y521" s="12"/>
    </row>
    <row r="522" customFormat="false" ht="15" hidden="false" customHeight="false" outlineLevel="0" collapsed="false">
      <c r="A522" s="11" t="s">
        <v>606</v>
      </c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3"/>
      <c r="R522" s="12"/>
      <c r="S522" s="13"/>
      <c r="T522" s="14"/>
      <c r="U522" s="12"/>
      <c r="V522" s="13"/>
      <c r="W522" s="12"/>
      <c r="X522" s="12"/>
      <c r="Y522" s="12"/>
    </row>
    <row r="523" customFormat="false" ht="15" hidden="false" customHeight="false" outlineLevel="0" collapsed="false">
      <c r="A523" s="11" t="s">
        <v>607</v>
      </c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3"/>
      <c r="R523" s="12"/>
      <c r="S523" s="13"/>
      <c r="T523" s="14"/>
      <c r="U523" s="12"/>
      <c r="V523" s="13"/>
      <c r="W523" s="12"/>
      <c r="X523" s="12"/>
      <c r="Y523" s="12"/>
    </row>
    <row r="524" customFormat="false" ht="15" hidden="false" customHeight="false" outlineLevel="0" collapsed="false">
      <c r="A524" s="11" t="s">
        <v>608</v>
      </c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3"/>
      <c r="R524" s="12"/>
      <c r="S524" s="13"/>
      <c r="T524" s="14"/>
      <c r="U524" s="12"/>
      <c r="V524" s="13"/>
      <c r="W524" s="12"/>
      <c r="X524" s="12"/>
      <c r="Y524" s="12"/>
    </row>
    <row r="525" customFormat="false" ht="15" hidden="false" customHeight="false" outlineLevel="0" collapsed="false">
      <c r="A525" s="11" t="s">
        <v>609</v>
      </c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3"/>
      <c r="R525" s="12"/>
      <c r="S525" s="13"/>
      <c r="T525" s="14"/>
      <c r="U525" s="12"/>
      <c r="V525" s="13"/>
      <c r="W525" s="12"/>
      <c r="X525" s="12"/>
      <c r="Y525" s="12"/>
    </row>
    <row r="526" customFormat="false" ht="15" hidden="false" customHeight="false" outlineLevel="0" collapsed="false">
      <c r="A526" s="11" t="s">
        <v>610</v>
      </c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3"/>
      <c r="R526" s="12"/>
      <c r="S526" s="13"/>
      <c r="T526" s="14"/>
      <c r="U526" s="12"/>
      <c r="V526" s="13"/>
      <c r="W526" s="12"/>
      <c r="X526" s="12"/>
      <c r="Y526" s="12"/>
    </row>
    <row r="527" customFormat="false" ht="15" hidden="false" customHeight="false" outlineLevel="0" collapsed="false">
      <c r="A527" s="11" t="s">
        <v>611</v>
      </c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3"/>
      <c r="R527" s="12"/>
      <c r="S527" s="13"/>
      <c r="T527" s="14"/>
      <c r="U527" s="12"/>
      <c r="V527" s="13"/>
      <c r="W527" s="12"/>
      <c r="X527" s="12"/>
      <c r="Y527" s="12"/>
    </row>
    <row r="528" customFormat="false" ht="15" hidden="false" customHeight="false" outlineLevel="0" collapsed="false">
      <c r="A528" s="11" t="s">
        <v>612</v>
      </c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3"/>
      <c r="R528" s="12"/>
      <c r="S528" s="13"/>
      <c r="T528" s="14"/>
      <c r="U528" s="12"/>
      <c r="V528" s="13"/>
      <c r="W528" s="12"/>
      <c r="X528" s="12"/>
      <c r="Y528" s="12"/>
    </row>
    <row r="529" customFormat="false" ht="15" hidden="false" customHeight="false" outlineLevel="0" collapsed="false">
      <c r="A529" s="11" t="s">
        <v>613</v>
      </c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3"/>
      <c r="R529" s="12"/>
      <c r="S529" s="13"/>
      <c r="T529" s="14"/>
      <c r="U529" s="12"/>
      <c r="V529" s="13"/>
      <c r="W529" s="12"/>
      <c r="X529" s="12"/>
      <c r="Y529" s="12"/>
    </row>
    <row r="530" customFormat="false" ht="15" hidden="false" customHeight="false" outlineLevel="0" collapsed="false">
      <c r="A530" s="11" t="s">
        <v>614</v>
      </c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3"/>
      <c r="R530" s="12"/>
      <c r="S530" s="13"/>
      <c r="T530" s="14"/>
      <c r="U530" s="12"/>
      <c r="V530" s="13"/>
      <c r="W530" s="12"/>
      <c r="X530" s="12"/>
      <c r="Y530" s="12"/>
    </row>
    <row r="531" customFormat="false" ht="15" hidden="false" customHeight="false" outlineLevel="0" collapsed="false">
      <c r="A531" s="11" t="s">
        <v>615</v>
      </c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3"/>
      <c r="R531" s="12"/>
      <c r="S531" s="13"/>
      <c r="T531" s="14"/>
      <c r="U531" s="12"/>
      <c r="V531" s="13"/>
      <c r="W531" s="12"/>
      <c r="X531" s="12"/>
      <c r="Y531" s="12"/>
    </row>
    <row r="532" customFormat="false" ht="15" hidden="false" customHeight="false" outlineLevel="0" collapsed="false">
      <c r="A532" s="11" t="s">
        <v>616</v>
      </c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3"/>
      <c r="R532" s="12"/>
      <c r="S532" s="13"/>
      <c r="T532" s="14"/>
      <c r="U532" s="12"/>
      <c r="V532" s="13"/>
      <c r="W532" s="12"/>
      <c r="X532" s="12"/>
      <c r="Y532" s="12"/>
    </row>
    <row r="533" customFormat="false" ht="15" hidden="false" customHeight="false" outlineLevel="0" collapsed="false">
      <c r="A533" s="11" t="s">
        <v>617</v>
      </c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3"/>
      <c r="R533" s="12"/>
      <c r="S533" s="13"/>
      <c r="T533" s="14"/>
      <c r="U533" s="12"/>
      <c r="V533" s="13"/>
      <c r="W533" s="12"/>
      <c r="X533" s="12"/>
      <c r="Y533" s="12"/>
    </row>
    <row r="534" customFormat="false" ht="15" hidden="false" customHeight="false" outlineLevel="0" collapsed="false">
      <c r="A534" s="11" t="s">
        <v>618</v>
      </c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3"/>
      <c r="R534" s="12"/>
      <c r="S534" s="13"/>
      <c r="T534" s="14"/>
      <c r="U534" s="12"/>
      <c r="V534" s="13"/>
      <c r="W534" s="12"/>
      <c r="X534" s="12"/>
      <c r="Y534" s="12"/>
    </row>
    <row r="535" customFormat="false" ht="15" hidden="false" customHeight="false" outlineLevel="0" collapsed="false">
      <c r="A535" s="11" t="s">
        <v>619</v>
      </c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3"/>
      <c r="R535" s="12"/>
      <c r="S535" s="13"/>
      <c r="T535" s="14"/>
      <c r="U535" s="12"/>
      <c r="V535" s="13"/>
      <c r="W535" s="12"/>
      <c r="X535" s="12"/>
      <c r="Y535" s="12"/>
    </row>
    <row r="536" customFormat="false" ht="15" hidden="false" customHeight="false" outlineLevel="0" collapsed="false">
      <c r="A536" s="11" t="s">
        <v>620</v>
      </c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3"/>
      <c r="R536" s="12"/>
      <c r="S536" s="13"/>
      <c r="T536" s="14"/>
      <c r="U536" s="12"/>
      <c r="V536" s="13"/>
      <c r="W536" s="12"/>
      <c r="X536" s="12"/>
      <c r="Y536" s="12"/>
    </row>
    <row r="537" customFormat="false" ht="15" hidden="false" customHeight="false" outlineLevel="0" collapsed="false">
      <c r="A537" s="11" t="s">
        <v>621</v>
      </c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3"/>
      <c r="R537" s="12"/>
      <c r="S537" s="13"/>
      <c r="T537" s="14"/>
      <c r="U537" s="12"/>
      <c r="V537" s="13"/>
      <c r="W537" s="12"/>
      <c r="X537" s="12"/>
      <c r="Y537" s="12"/>
    </row>
    <row r="538" customFormat="false" ht="15" hidden="false" customHeight="false" outlineLevel="0" collapsed="false">
      <c r="A538" s="11" t="s">
        <v>622</v>
      </c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3"/>
      <c r="R538" s="12"/>
      <c r="S538" s="13"/>
      <c r="T538" s="14"/>
      <c r="U538" s="12"/>
      <c r="V538" s="13"/>
      <c r="W538" s="12"/>
      <c r="X538" s="12"/>
      <c r="Y538" s="12"/>
    </row>
    <row r="539" customFormat="false" ht="15" hidden="false" customHeight="false" outlineLevel="0" collapsed="false">
      <c r="A539" s="11" t="s">
        <v>623</v>
      </c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3"/>
      <c r="R539" s="12"/>
      <c r="S539" s="13"/>
      <c r="T539" s="14"/>
      <c r="U539" s="12"/>
      <c r="V539" s="13"/>
      <c r="W539" s="12"/>
      <c r="X539" s="12"/>
      <c r="Y539" s="12"/>
    </row>
    <row r="540" customFormat="false" ht="15" hidden="false" customHeight="false" outlineLevel="0" collapsed="false">
      <c r="A540" s="11" t="s">
        <v>624</v>
      </c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3"/>
      <c r="R540" s="12"/>
      <c r="S540" s="13"/>
      <c r="T540" s="14"/>
      <c r="U540" s="12"/>
      <c r="V540" s="13"/>
      <c r="W540" s="12"/>
      <c r="X540" s="12"/>
      <c r="Y540" s="12"/>
    </row>
    <row r="541" customFormat="false" ht="15" hidden="false" customHeight="false" outlineLevel="0" collapsed="false">
      <c r="A541" s="11" t="s">
        <v>625</v>
      </c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3"/>
      <c r="R541" s="12"/>
      <c r="S541" s="13"/>
      <c r="T541" s="14"/>
      <c r="U541" s="12"/>
      <c r="V541" s="13"/>
      <c r="W541" s="12"/>
      <c r="X541" s="12"/>
      <c r="Y541" s="12"/>
    </row>
    <row r="542" customFormat="false" ht="15" hidden="false" customHeight="false" outlineLevel="0" collapsed="false">
      <c r="A542" s="11" t="s">
        <v>626</v>
      </c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3"/>
      <c r="R542" s="12"/>
      <c r="S542" s="13"/>
      <c r="T542" s="14"/>
      <c r="U542" s="12"/>
      <c r="V542" s="13"/>
      <c r="W542" s="12"/>
      <c r="X542" s="12"/>
      <c r="Y542" s="12"/>
    </row>
    <row r="543" customFormat="false" ht="15" hidden="false" customHeight="false" outlineLevel="0" collapsed="false">
      <c r="A543" s="11" t="s">
        <v>627</v>
      </c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3"/>
      <c r="R543" s="12"/>
      <c r="S543" s="13"/>
      <c r="T543" s="14"/>
      <c r="U543" s="12"/>
      <c r="V543" s="13"/>
      <c r="W543" s="12"/>
      <c r="X543" s="12"/>
      <c r="Y543" s="12"/>
    </row>
    <row r="544" customFormat="false" ht="15" hidden="false" customHeight="false" outlineLevel="0" collapsed="false">
      <c r="A544" s="11" t="s">
        <v>628</v>
      </c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3"/>
      <c r="R544" s="12"/>
      <c r="S544" s="13"/>
      <c r="T544" s="14"/>
      <c r="U544" s="12"/>
      <c r="V544" s="13"/>
      <c r="W544" s="12"/>
      <c r="X544" s="12"/>
      <c r="Y544" s="12"/>
    </row>
    <row r="545" customFormat="false" ht="15" hidden="false" customHeight="false" outlineLevel="0" collapsed="false">
      <c r="A545" s="11" t="s">
        <v>629</v>
      </c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3"/>
      <c r="R545" s="12"/>
      <c r="S545" s="13"/>
      <c r="T545" s="14"/>
      <c r="U545" s="12"/>
      <c r="V545" s="13"/>
      <c r="W545" s="12"/>
      <c r="X545" s="12"/>
      <c r="Y545" s="12"/>
    </row>
    <row r="546" customFormat="false" ht="15" hidden="false" customHeight="false" outlineLevel="0" collapsed="false">
      <c r="A546" s="11" t="s">
        <v>630</v>
      </c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3"/>
      <c r="R546" s="12"/>
      <c r="S546" s="13"/>
      <c r="T546" s="14"/>
      <c r="U546" s="12"/>
      <c r="V546" s="13"/>
      <c r="W546" s="12"/>
      <c r="X546" s="12"/>
      <c r="Y546" s="12"/>
    </row>
    <row r="547" customFormat="false" ht="15" hidden="false" customHeight="false" outlineLevel="0" collapsed="false">
      <c r="A547" s="11" t="s">
        <v>631</v>
      </c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3"/>
      <c r="R547" s="12"/>
      <c r="S547" s="13"/>
      <c r="T547" s="14"/>
      <c r="U547" s="12"/>
      <c r="V547" s="13"/>
      <c r="W547" s="12"/>
      <c r="X547" s="12"/>
      <c r="Y547" s="12"/>
    </row>
    <row r="548" customFormat="false" ht="15" hidden="false" customHeight="false" outlineLevel="0" collapsed="false">
      <c r="A548" s="11" t="s">
        <v>632</v>
      </c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3"/>
      <c r="R548" s="12"/>
      <c r="S548" s="13"/>
      <c r="T548" s="14"/>
      <c r="U548" s="12"/>
      <c r="V548" s="13"/>
      <c r="W548" s="12"/>
      <c r="X548" s="12"/>
      <c r="Y548" s="12"/>
    </row>
    <row r="549" customFormat="false" ht="15" hidden="false" customHeight="false" outlineLevel="0" collapsed="false">
      <c r="A549" s="11" t="s">
        <v>633</v>
      </c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3"/>
      <c r="R549" s="12"/>
      <c r="S549" s="13"/>
      <c r="T549" s="14"/>
      <c r="U549" s="12"/>
      <c r="V549" s="13"/>
      <c r="W549" s="12"/>
      <c r="X549" s="12"/>
      <c r="Y549" s="12"/>
    </row>
    <row r="550" customFormat="false" ht="15" hidden="false" customHeight="false" outlineLevel="0" collapsed="false">
      <c r="A550" s="11" t="s">
        <v>634</v>
      </c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3"/>
      <c r="R550" s="12"/>
      <c r="S550" s="13"/>
      <c r="T550" s="14"/>
      <c r="U550" s="12"/>
      <c r="V550" s="13"/>
      <c r="W550" s="12"/>
      <c r="X550" s="12"/>
      <c r="Y550" s="12"/>
    </row>
    <row r="551" customFormat="false" ht="15" hidden="false" customHeight="false" outlineLevel="0" collapsed="false">
      <c r="A551" s="11" t="s">
        <v>635</v>
      </c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3"/>
      <c r="R551" s="12"/>
      <c r="S551" s="13"/>
      <c r="T551" s="14"/>
      <c r="U551" s="12"/>
      <c r="V551" s="13"/>
      <c r="W551" s="12"/>
      <c r="X551" s="12"/>
      <c r="Y551" s="12"/>
    </row>
    <row r="552" customFormat="false" ht="15" hidden="false" customHeight="false" outlineLevel="0" collapsed="false">
      <c r="A552" s="11" t="s">
        <v>636</v>
      </c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3"/>
      <c r="R552" s="12"/>
      <c r="S552" s="13"/>
      <c r="T552" s="14"/>
      <c r="U552" s="12"/>
      <c r="V552" s="13"/>
      <c r="W552" s="12"/>
      <c r="X552" s="12"/>
      <c r="Y552" s="12"/>
    </row>
    <row r="553" customFormat="false" ht="15" hidden="false" customHeight="false" outlineLevel="0" collapsed="false">
      <c r="A553" s="11" t="s">
        <v>637</v>
      </c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3"/>
      <c r="R553" s="12"/>
      <c r="S553" s="13"/>
      <c r="T553" s="14"/>
      <c r="U553" s="12"/>
      <c r="V553" s="13"/>
      <c r="W553" s="12"/>
      <c r="X553" s="12"/>
      <c r="Y553" s="12"/>
    </row>
    <row r="554" customFormat="false" ht="15" hidden="false" customHeight="false" outlineLevel="0" collapsed="false">
      <c r="A554" s="11" t="s">
        <v>638</v>
      </c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3"/>
      <c r="R554" s="12"/>
      <c r="S554" s="13"/>
      <c r="T554" s="14"/>
      <c r="U554" s="12"/>
      <c r="V554" s="13"/>
      <c r="W554" s="12"/>
      <c r="X554" s="12"/>
      <c r="Y554" s="12"/>
    </row>
    <row r="555" customFormat="false" ht="15" hidden="false" customHeight="false" outlineLevel="0" collapsed="false">
      <c r="A555" s="11" t="s">
        <v>639</v>
      </c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3"/>
      <c r="R555" s="12"/>
      <c r="S555" s="13"/>
      <c r="T555" s="14"/>
      <c r="U555" s="12"/>
      <c r="V555" s="13"/>
      <c r="W555" s="12"/>
      <c r="X555" s="12"/>
      <c r="Y555" s="12"/>
    </row>
    <row r="556" customFormat="false" ht="15" hidden="false" customHeight="false" outlineLevel="0" collapsed="false">
      <c r="A556" s="11" t="s">
        <v>640</v>
      </c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3"/>
      <c r="R556" s="12"/>
      <c r="S556" s="13"/>
      <c r="T556" s="14"/>
      <c r="U556" s="12"/>
      <c r="V556" s="13"/>
      <c r="W556" s="12"/>
      <c r="X556" s="12"/>
      <c r="Y556" s="12"/>
    </row>
    <row r="557" customFormat="false" ht="15" hidden="false" customHeight="false" outlineLevel="0" collapsed="false">
      <c r="A557" s="11" t="s">
        <v>641</v>
      </c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3"/>
      <c r="R557" s="12"/>
      <c r="S557" s="13"/>
      <c r="T557" s="14"/>
      <c r="U557" s="12"/>
      <c r="V557" s="13"/>
      <c r="W557" s="12"/>
      <c r="X557" s="12"/>
      <c r="Y557" s="12"/>
    </row>
    <row r="558" customFormat="false" ht="15" hidden="false" customHeight="false" outlineLevel="0" collapsed="false">
      <c r="A558" s="11" t="s">
        <v>642</v>
      </c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3"/>
      <c r="R558" s="12"/>
      <c r="S558" s="13"/>
      <c r="T558" s="14"/>
      <c r="U558" s="12"/>
      <c r="V558" s="13"/>
      <c r="W558" s="12"/>
      <c r="X558" s="12"/>
      <c r="Y558" s="12"/>
    </row>
    <row r="559" customFormat="false" ht="15" hidden="false" customHeight="false" outlineLevel="0" collapsed="false">
      <c r="A559" s="11" t="s">
        <v>643</v>
      </c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3"/>
      <c r="R559" s="12"/>
      <c r="S559" s="13"/>
      <c r="T559" s="14"/>
      <c r="U559" s="12"/>
      <c r="V559" s="13"/>
      <c r="W559" s="12"/>
      <c r="X559" s="12"/>
      <c r="Y559" s="12"/>
    </row>
    <row r="560" customFormat="false" ht="15" hidden="false" customHeight="false" outlineLevel="0" collapsed="false">
      <c r="A560" s="11" t="s">
        <v>644</v>
      </c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3"/>
      <c r="R560" s="12"/>
      <c r="S560" s="13"/>
      <c r="T560" s="14"/>
      <c r="U560" s="12"/>
      <c r="V560" s="13"/>
      <c r="W560" s="12"/>
      <c r="X560" s="12"/>
      <c r="Y560" s="12"/>
    </row>
    <row r="561" customFormat="false" ht="15" hidden="false" customHeight="false" outlineLevel="0" collapsed="false">
      <c r="A561" s="11" t="s">
        <v>645</v>
      </c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3"/>
      <c r="R561" s="12"/>
      <c r="S561" s="13"/>
      <c r="T561" s="14"/>
      <c r="U561" s="12"/>
      <c r="V561" s="13"/>
      <c r="W561" s="12"/>
      <c r="X561" s="12"/>
      <c r="Y561" s="12"/>
    </row>
    <row r="562" customFormat="false" ht="15" hidden="false" customHeight="false" outlineLevel="0" collapsed="false">
      <c r="A562" s="11" t="s">
        <v>646</v>
      </c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3"/>
      <c r="R562" s="12"/>
      <c r="S562" s="13"/>
      <c r="T562" s="14"/>
      <c r="U562" s="12"/>
      <c r="V562" s="13"/>
      <c r="W562" s="12"/>
      <c r="X562" s="12"/>
      <c r="Y562" s="12"/>
    </row>
    <row r="563" customFormat="false" ht="15" hidden="false" customHeight="false" outlineLevel="0" collapsed="false">
      <c r="A563" s="11" t="s">
        <v>647</v>
      </c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3"/>
      <c r="R563" s="12"/>
      <c r="S563" s="13"/>
      <c r="T563" s="14"/>
      <c r="U563" s="12"/>
      <c r="V563" s="13"/>
      <c r="W563" s="12"/>
      <c r="X563" s="12"/>
      <c r="Y563" s="12"/>
    </row>
    <row r="564" customFormat="false" ht="15" hidden="false" customHeight="false" outlineLevel="0" collapsed="false">
      <c r="A564" s="11" t="s">
        <v>648</v>
      </c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3"/>
      <c r="R564" s="12"/>
      <c r="S564" s="13"/>
      <c r="T564" s="14"/>
      <c r="U564" s="12"/>
      <c r="V564" s="13"/>
      <c r="W564" s="12"/>
      <c r="X564" s="12"/>
      <c r="Y564" s="12"/>
    </row>
    <row r="565" customFormat="false" ht="15" hidden="false" customHeight="false" outlineLevel="0" collapsed="false">
      <c r="A565" s="11" t="s">
        <v>649</v>
      </c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3"/>
      <c r="R565" s="12"/>
      <c r="S565" s="13"/>
      <c r="T565" s="14"/>
      <c r="U565" s="12"/>
      <c r="V565" s="13"/>
      <c r="W565" s="12"/>
      <c r="X565" s="12"/>
      <c r="Y565" s="12"/>
    </row>
    <row r="566" customFormat="false" ht="15" hidden="false" customHeight="false" outlineLevel="0" collapsed="false">
      <c r="A566" s="11" t="s">
        <v>650</v>
      </c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3"/>
      <c r="R566" s="12"/>
      <c r="S566" s="13"/>
      <c r="T566" s="14"/>
      <c r="U566" s="12"/>
      <c r="V566" s="13"/>
      <c r="W566" s="12"/>
      <c r="X566" s="12"/>
      <c r="Y566" s="12"/>
    </row>
    <row r="567" customFormat="false" ht="15" hidden="false" customHeight="false" outlineLevel="0" collapsed="false">
      <c r="A567" s="11" t="s">
        <v>651</v>
      </c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3"/>
      <c r="R567" s="12"/>
      <c r="S567" s="13"/>
      <c r="T567" s="14"/>
      <c r="U567" s="12"/>
      <c r="V567" s="13"/>
      <c r="W567" s="12"/>
      <c r="X567" s="12"/>
      <c r="Y567" s="12"/>
    </row>
    <row r="568" customFormat="false" ht="15" hidden="false" customHeight="false" outlineLevel="0" collapsed="false">
      <c r="A568" s="11" t="s">
        <v>652</v>
      </c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3"/>
      <c r="R568" s="12"/>
      <c r="S568" s="13"/>
      <c r="T568" s="14"/>
      <c r="U568" s="12"/>
      <c r="V568" s="13"/>
      <c r="W568" s="12"/>
      <c r="X568" s="12"/>
      <c r="Y568" s="12"/>
    </row>
    <row r="569" customFormat="false" ht="15" hidden="false" customHeight="false" outlineLevel="0" collapsed="false">
      <c r="A569" s="11" t="s">
        <v>653</v>
      </c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3"/>
      <c r="R569" s="12"/>
      <c r="S569" s="13"/>
      <c r="T569" s="14"/>
      <c r="U569" s="12"/>
      <c r="V569" s="13"/>
      <c r="W569" s="12"/>
      <c r="X569" s="12"/>
      <c r="Y569" s="12"/>
    </row>
    <row r="570" customFormat="false" ht="15" hidden="false" customHeight="false" outlineLevel="0" collapsed="false">
      <c r="A570" s="11" t="s">
        <v>654</v>
      </c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3"/>
      <c r="R570" s="12"/>
      <c r="S570" s="13"/>
      <c r="T570" s="14"/>
      <c r="U570" s="12"/>
      <c r="V570" s="13"/>
      <c r="W570" s="12"/>
      <c r="X570" s="12"/>
      <c r="Y570" s="12"/>
    </row>
    <row r="571" customFormat="false" ht="15" hidden="false" customHeight="false" outlineLevel="0" collapsed="false">
      <c r="A571" s="11" t="s">
        <v>655</v>
      </c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3"/>
      <c r="R571" s="12"/>
      <c r="S571" s="13"/>
      <c r="T571" s="14"/>
      <c r="U571" s="12"/>
      <c r="V571" s="13"/>
      <c r="W571" s="12"/>
      <c r="X571" s="12"/>
      <c r="Y571" s="12"/>
    </row>
    <row r="572" customFormat="false" ht="15" hidden="false" customHeight="false" outlineLevel="0" collapsed="false">
      <c r="A572" s="11" t="s">
        <v>656</v>
      </c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3"/>
      <c r="R572" s="12"/>
      <c r="S572" s="13"/>
      <c r="T572" s="14"/>
      <c r="U572" s="12"/>
      <c r="V572" s="13"/>
      <c r="W572" s="12"/>
      <c r="X572" s="12"/>
      <c r="Y572" s="12"/>
    </row>
    <row r="573" customFormat="false" ht="15" hidden="false" customHeight="false" outlineLevel="0" collapsed="false">
      <c r="A573" s="11" t="s">
        <v>657</v>
      </c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3"/>
      <c r="R573" s="12"/>
      <c r="S573" s="13"/>
      <c r="T573" s="14"/>
      <c r="U573" s="12"/>
      <c r="V573" s="13"/>
      <c r="W573" s="12"/>
      <c r="X573" s="12"/>
      <c r="Y573" s="12"/>
    </row>
    <row r="574" customFormat="false" ht="15" hidden="false" customHeight="false" outlineLevel="0" collapsed="false">
      <c r="A574" s="11" t="s">
        <v>658</v>
      </c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3"/>
      <c r="R574" s="12"/>
      <c r="S574" s="13"/>
      <c r="T574" s="14"/>
      <c r="U574" s="12"/>
      <c r="V574" s="13"/>
      <c r="W574" s="12"/>
      <c r="X574" s="12"/>
      <c r="Y574" s="12"/>
    </row>
    <row r="575" customFormat="false" ht="15" hidden="false" customHeight="false" outlineLevel="0" collapsed="false">
      <c r="A575" s="11" t="s">
        <v>659</v>
      </c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3"/>
      <c r="R575" s="12"/>
      <c r="S575" s="13"/>
      <c r="T575" s="14"/>
      <c r="U575" s="12"/>
      <c r="V575" s="13"/>
      <c r="W575" s="12"/>
      <c r="X575" s="12"/>
      <c r="Y575" s="12"/>
    </row>
    <row r="576" customFormat="false" ht="15" hidden="false" customHeight="false" outlineLevel="0" collapsed="false">
      <c r="A576" s="11" t="s">
        <v>660</v>
      </c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3"/>
      <c r="R576" s="12"/>
      <c r="S576" s="13"/>
      <c r="T576" s="14"/>
      <c r="U576" s="12"/>
      <c r="V576" s="13"/>
      <c r="W576" s="12"/>
      <c r="X576" s="12"/>
      <c r="Y576" s="12"/>
    </row>
    <row r="577" customFormat="false" ht="15" hidden="false" customHeight="false" outlineLevel="0" collapsed="false">
      <c r="A577" s="11" t="s">
        <v>661</v>
      </c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3"/>
      <c r="R577" s="12"/>
      <c r="S577" s="13"/>
      <c r="T577" s="14"/>
      <c r="U577" s="12"/>
      <c r="V577" s="13"/>
      <c r="W577" s="12"/>
      <c r="X577" s="12"/>
      <c r="Y577" s="12"/>
    </row>
    <row r="578" customFormat="false" ht="15" hidden="false" customHeight="false" outlineLevel="0" collapsed="false">
      <c r="A578" s="11" t="s">
        <v>662</v>
      </c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3"/>
      <c r="R578" s="12"/>
      <c r="S578" s="13"/>
      <c r="T578" s="14"/>
      <c r="U578" s="12"/>
      <c r="V578" s="13"/>
      <c r="W578" s="12"/>
      <c r="X578" s="12"/>
      <c r="Y578" s="12"/>
    </row>
    <row r="579" customFormat="false" ht="15" hidden="false" customHeight="false" outlineLevel="0" collapsed="false">
      <c r="A579" s="11" t="s">
        <v>663</v>
      </c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3"/>
      <c r="R579" s="12"/>
      <c r="S579" s="13"/>
      <c r="T579" s="14"/>
      <c r="U579" s="12"/>
      <c r="V579" s="13"/>
      <c r="W579" s="12"/>
      <c r="X579" s="12"/>
      <c r="Y579" s="12"/>
    </row>
    <row r="580" customFormat="false" ht="15" hidden="false" customHeight="false" outlineLevel="0" collapsed="false">
      <c r="A580" s="11" t="s">
        <v>664</v>
      </c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3"/>
      <c r="R580" s="12"/>
      <c r="S580" s="13"/>
      <c r="T580" s="14"/>
      <c r="U580" s="12"/>
      <c r="V580" s="13"/>
      <c r="W580" s="12"/>
      <c r="X580" s="12"/>
      <c r="Y580" s="12"/>
    </row>
    <row r="581" customFormat="false" ht="15" hidden="false" customHeight="false" outlineLevel="0" collapsed="false">
      <c r="A581" s="11" t="s">
        <v>665</v>
      </c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3"/>
      <c r="R581" s="12"/>
      <c r="S581" s="13"/>
      <c r="T581" s="14"/>
      <c r="U581" s="12"/>
      <c r="V581" s="13"/>
      <c r="W581" s="12"/>
      <c r="X581" s="12"/>
      <c r="Y581" s="12"/>
    </row>
    <row r="582" customFormat="false" ht="15" hidden="false" customHeight="false" outlineLevel="0" collapsed="false">
      <c r="A582" s="11" t="s">
        <v>666</v>
      </c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3"/>
      <c r="R582" s="12"/>
      <c r="S582" s="13"/>
      <c r="T582" s="14"/>
      <c r="U582" s="12"/>
      <c r="V582" s="13"/>
      <c r="W582" s="12"/>
      <c r="X582" s="12"/>
      <c r="Y582" s="12"/>
    </row>
    <row r="583" customFormat="false" ht="15" hidden="false" customHeight="false" outlineLevel="0" collapsed="false">
      <c r="A583" s="11" t="s">
        <v>667</v>
      </c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3"/>
      <c r="R583" s="12"/>
      <c r="S583" s="13"/>
      <c r="T583" s="14"/>
      <c r="U583" s="12"/>
      <c r="V583" s="13"/>
      <c r="W583" s="12"/>
      <c r="X583" s="12"/>
      <c r="Y583" s="12"/>
    </row>
    <row r="584" customFormat="false" ht="15" hidden="false" customHeight="false" outlineLevel="0" collapsed="false">
      <c r="A584" s="11" t="s">
        <v>668</v>
      </c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3"/>
      <c r="R584" s="12"/>
      <c r="S584" s="13"/>
      <c r="T584" s="14"/>
      <c r="U584" s="12"/>
      <c r="V584" s="13"/>
      <c r="W584" s="12"/>
      <c r="X584" s="12"/>
      <c r="Y584" s="12"/>
    </row>
    <row r="585" customFormat="false" ht="15" hidden="false" customHeight="false" outlineLevel="0" collapsed="false">
      <c r="A585" s="11" t="s">
        <v>669</v>
      </c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3"/>
      <c r="R585" s="12"/>
      <c r="S585" s="13"/>
      <c r="T585" s="14"/>
      <c r="U585" s="12"/>
      <c r="V585" s="13"/>
      <c r="W585" s="12"/>
      <c r="X585" s="12"/>
      <c r="Y585" s="12"/>
    </row>
    <row r="586" customFormat="false" ht="15" hidden="false" customHeight="false" outlineLevel="0" collapsed="false">
      <c r="A586" s="11" t="s">
        <v>670</v>
      </c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3"/>
      <c r="R586" s="12"/>
      <c r="S586" s="13"/>
      <c r="T586" s="14"/>
      <c r="U586" s="12"/>
      <c r="V586" s="13"/>
      <c r="W586" s="12"/>
      <c r="X586" s="12"/>
      <c r="Y586" s="12"/>
    </row>
    <row r="587" customFormat="false" ht="15" hidden="false" customHeight="false" outlineLevel="0" collapsed="false">
      <c r="A587" s="11" t="s">
        <v>671</v>
      </c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3"/>
      <c r="R587" s="12"/>
      <c r="S587" s="13"/>
      <c r="T587" s="14"/>
      <c r="U587" s="12"/>
      <c r="V587" s="13"/>
      <c r="W587" s="12"/>
      <c r="X587" s="12"/>
      <c r="Y587" s="12"/>
    </row>
    <row r="588" customFormat="false" ht="15" hidden="false" customHeight="false" outlineLevel="0" collapsed="false">
      <c r="A588" s="11" t="s">
        <v>672</v>
      </c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3"/>
      <c r="R588" s="12"/>
      <c r="S588" s="13"/>
      <c r="T588" s="14"/>
      <c r="U588" s="12"/>
      <c r="V588" s="13"/>
      <c r="W588" s="12"/>
      <c r="X588" s="12"/>
      <c r="Y588" s="12"/>
    </row>
    <row r="589" customFormat="false" ht="15" hidden="false" customHeight="false" outlineLevel="0" collapsed="false">
      <c r="A589" s="11" t="s">
        <v>673</v>
      </c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3"/>
      <c r="R589" s="12"/>
      <c r="S589" s="13"/>
      <c r="T589" s="14"/>
      <c r="U589" s="12"/>
      <c r="V589" s="13"/>
      <c r="W589" s="12"/>
      <c r="X589" s="12"/>
      <c r="Y589" s="12"/>
    </row>
    <row r="590" customFormat="false" ht="15" hidden="false" customHeight="false" outlineLevel="0" collapsed="false">
      <c r="A590" s="11" t="s">
        <v>674</v>
      </c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3"/>
      <c r="R590" s="12"/>
      <c r="S590" s="13"/>
      <c r="T590" s="14"/>
      <c r="U590" s="12"/>
      <c r="V590" s="13"/>
      <c r="W590" s="12"/>
      <c r="X590" s="12"/>
      <c r="Y590" s="12"/>
    </row>
    <row r="591" customFormat="false" ht="15" hidden="false" customHeight="false" outlineLevel="0" collapsed="false">
      <c r="A591" s="11" t="s">
        <v>675</v>
      </c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3"/>
      <c r="R591" s="12"/>
      <c r="S591" s="13"/>
      <c r="T591" s="14"/>
      <c r="U591" s="12"/>
      <c r="V591" s="13"/>
      <c r="W591" s="12"/>
      <c r="X591" s="12"/>
      <c r="Y591" s="12"/>
    </row>
    <row r="592" customFormat="false" ht="15" hidden="false" customHeight="false" outlineLevel="0" collapsed="false">
      <c r="A592" s="11" t="s">
        <v>676</v>
      </c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3"/>
      <c r="R592" s="12"/>
      <c r="S592" s="13"/>
      <c r="T592" s="14"/>
      <c r="U592" s="12"/>
      <c r="V592" s="13"/>
      <c r="W592" s="12"/>
      <c r="X592" s="12"/>
      <c r="Y592" s="12"/>
    </row>
    <row r="593" customFormat="false" ht="15" hidden="false" customHeight="false" outlineLevel="0" collapsed="false">
      <c r="A593" s="11" t="s">
        <v>677</v>
      </c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3"/>
      <c r="R593" s="12"/>
      <c r="S593" s="13"/>
      <c r="T593" s="14"/>
      <c r="U593" s="12"/>
      <c r="V593" s="13"/>
      <c r="W593" s="12"/>
      <c r="X593" s="12"/>
      <c r="Y593" s="12"/>
    </row>
    <row r="594" customFormat="false" ht="15" hidden="false" customHeight="false" outlineLevel="0" collapsed="false">
      <c r="A594" s="11" t="s">
        <v>678</v>
      </c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3"/>
      <c r="R594" s="12"/>
      <c r="S594" s="13"/>
      <c r="T594" s="14"/>
      <c r="U594" s="12"/>
      <c r="V594" s="13"/>
      <c r="W594" s="12"/>
      <c r="X594" s="12"/>
      <c r="Y594" s="12"/>
    </row>
    <row r="595" customFormat="false" ht="15" hidden="false" customHeight="false" outlineLevel="0" collapsed="false">
      <c r="A595" s="11" t="s">
        <v>679</v>
      </c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3"/>
      <c r="R595" s="12"/>
      <c r="S595" s="13"/>
      <c r="T595" s="14"/>
      <c r="U595" s="12"/>
      <c r="V595" s="13"/>
      <c r="W595" s="12"/>
      <c r="X595" s="12"/>
      <c r="Y595" s="12"/>
    </row>
    <row r="596" customFormat="false" ht="15" hidden="false" customHeight="false" outlineLevel="0" collapsed="false">
      <c r="A596" s="11" t="s">
        <v>680</v>
      </c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3"/>
      <c r="R596" s="12"/>
      <c r="S596" s="13"/>
      <c r="T596" s="14"/>
      <c r="U596" s="12"/>
      <c r="V596" s="13"/>
      <c r="W596" s="12"/>
      <c r="X596" s="12"/>
      <c r="Y596" s="12"/>
    </row>
    <row r="597" customFormat="false" ht="15" hidden="false" customHeight="false" outlineLevel="0" collapsed="false">
      <c r="A597" s="11" t="s">
        <v>681</v>
      </c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3"/>
      <c r="R597" s="12"/>
      <c r="S597" s="13"/>
      <c r="T597" s="14"/>
      <c r="U597" s="12"/>
      <c r="V597" s="13"/>
      <c r="W597" s="12"/>
      <c r="X597" s="12"/>
      <c r="Y597" s="12"/>
    </row>
    <row r="598" customFormat="false" ht="15" hidden="false" customHeight="false" outlineLevel="0" collapsed="false">
      <c r="A598" s="11" t="s">
        <v>682</v>
      </c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3"/>
      <c r="R598" s="12"/>
      <c r="S598" s="13"/>
      <c r="T598" s="14"/>
      <c r="U598" s="12"/>
      <c r="V598" s="13"/>
      <c r="W598" s="12"/>
      <c r="X598" s="12"/>
      <c r="Y598" s="12"/>
    </row>
    <row r="599" customFormat="false" ht="15" hidden="false" customHeight="false" outlineLevel="0" collapsed="false">
      <c r="A599" s="11" t="s">
        <v>683</v>
      </c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3"/>
      <c r="R599" s="12"/>
      <c r="S599" s="13"/>
      <c r="T599" s="14"/>
      <c r="U599" s="12"/>
      <c r="V599" s="13"/>
      <c r="W599" s="12"/>
      <c r="X599" s="12"/>
      <c r="Y599" s="12"/>
    </row>
    <row r="600" customFormat="false" ht="15" hidden="false" customHeight="false" outlineLevel="0" collapsed="false">
      <c r="A600" s="11" t="s">
        <v>684</v>
      </c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3"/>
      <c r="R600" s="12"/>
      <c r="S600" s="13"/>
      <c r="T600" s="14"/>
      <c r="U600" s="12"/>
      <c r="V600" s="13"/>
      <c r="W600" s="12"/>
      <c r="X600" s="12"/>
      <c r="Y600" s="12"/>
    </row>
    <row r="601" customFormat="false" ht="15" hidden="false" customHeight="false" outlineLevel="0" collapsed="false">
      <c r="A601" s="11" t="s">
        <v>685</v>
      </c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3"/>
      <c r="R601" s="12"/>
      <c r="S601" s="13"/>
      <c r="T601" s="14"/>
      <c r="U601" s="12"/>
      <c r="V601" s="13"/>
      <c r="W601" s="12"/>
      <c r="X601" s="12"/>
      <c r="Y601" s="12"/>
    </row>
    <row r="602" customFormat="false" ht="15" hidden="false" customHeight="false" outlineLevel="0" collapsed="false">
      <c r="A602" s="11" t="s">
        <v>686</v>
      </c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3"/>
      <c r="R602" s="12"/>
      <c r="S602" s="13"/>
      <c r="T602" s="14"/>
      <c r="U602" s="12"/>
      <c r="V602" s="13"/>
      <c r="W602" s="12"/>
      <c r="X602" s="12"/>
      <c r="Y602" s="12"/>
    </row>
    <row r="603" customFormat="false" ht="15" hidden="false" customHeight="false" outlineLevel="0" collapsed="false">
      <c r="A603" s="11" t="s">
        <v>687</v>
      </c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3"/>
      <c r="R603" s="12"/>
      <c r="S603" s="13"/>
      <c r="T603" s="14"/>
      <c r="U603" s="12"/>
      <c r="V603" s="13"/>
      <c r="W603" s="12"/>
      <c r="X603" s="12"/>
      <c r="Y603" s="12"/>
    </row>
    <row r="604" customFormat="false" ht="15" hidden="false" customHeight="false" outlineLevel="0" collapsed="false">
      <c r="A604" s="11" t="s">
        <v>688</v>
      </c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3"/>
      <c r="R604" s="12"/>
      <c r="S604" s="13"/>
      <c r="T604" s="14"/>
      <c r="U604" s="12"/>
      <c r="V604" s="13"/>
      <c r="W604" s="12"/>
      <c r="X604" s="12"/>
      <c r="Y604" s="12"/>
    </row>
    <row r="605" customFormat="false" ht="15" hidden="false" customHeight="false" outlineLevel="0" collapsed="false">
      <c r="A605" s="11" t="s">
        <v>689</v>
      </c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3"/>
      <c r="R605" s="12"/>
      <c r="S605" s="13"/>
      <c r="T605" s="14"/>
      <c r="U605" s="12"/>
      <c r="V605" s="13"/>
      <c r="W605" s="12"/>
      <c r="X605" s="12"/>
      <c r="Y605" s="12"/>
    </row>
    <row r="606" customFormat="false" ht="15" hidden="false" customHeight="false" outlineLevel="0" collapsed="false">
      <c r="A606" s="11" t="s">
        <v>690</v>
      </c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3"/>
      <c r="R606" s="12"/>
      <c r="S606" s="13"/>
      <c r="T606" s="14"/>
      <c r="U606" s="12"/>
      <c r="V606" s="13"/>
      <c r="W606" s="12"/>
      <c r="X606" s="12"/>
      <c r="Y606" s="12"/>
    </row>
    <row r="607" customFormat="false" ht="15" hidden="false" customHeight="false" outlineLevel="0" collapsed="false">
      <c r="A607" s="11" t="s">
        <v>691</v>
      </c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3"/>
      <c r="R607" s="12"/>
      <c r="S607" s="13"/>
      <c r="T607" s="14"/>
      <c r="U607" s="12"/>
      <c r="V607" s="13"/>
      <c r="W607" s="12"/>
      <c r="X607" s="12"/>
      <c r="Y607" s="12"/>
    </row>
    <row r="608" customFormat="false" ht="15" hidden="false" customHeight="false" outlineLevel="0" collapsed="false">
      <c r="A608" s="11" t="s">
        <v>692</v>
      </c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3"/>
      <c r="R608" s="12"/>
      <c r="S608" s="13"/>
      <c r="T608" s="14"/>
      <c r="U608" s="12"/>
      <c r="V608" s="13"/>
      <c r="W608" s="12"/>
      <c r="X608" s="12"/>
      <c r="Y608" s="12"/>
    </row>
    <row r="609" customFormat="false" ht="15" hidden="false" customHeight="false" outlineLevel="0" collapsed="false">
      <c r="A609" s="11" t="s">
        <v>693</v>
      </c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3"/>
      <c r="R609" s="12"/>
      <c r="S609" s="13"/>
      <c r="T609" s="14"/>
      <c r="U609" s="12"/>
      <c r="V609" s="13"/>
      <c r="W609" s="12"/>
      <c r="X609" s="12"/>
      <c r="Y609" s="12"/>
    </row>
    <row r="610" customFormat="false" ht="15" hidden="false" customHeight="false" outlineLevel="0" collapsed="false">
      <c r="A610" s="11" t="s">
        <v>694</v>
      </c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3"/>
      <c r="R610" s="12"/>
      <c r="S610" s="13"/>
      <c r="T610" s="14"/>
      <c r="U610" s="12"/>
      <c r="V610" s="13"/>
      <c r="W610" s="12"/>
      <c r="X610" s="12"/>
      <c r="Y610" s="12"/>
    </row>
    <row r="611" customFormat="false" ht="15" hidden="false" customHeight="false" outlineLevel="0" collapsed="false">
      <c r="A611" s="11" t="s">
        <v>695</v>
      </c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3"/>
      <c r="R611" s="12"/>
      <c r="S611" s="13"/>
      <c r="T611" s="14"/>
      <c r="U611" s="12"/>
      <c r="V611" s="13"/>
      <c r="W611" s="12"/>
      <c r="X611" s="12"/>
      <c r="Y611" s="12"/>
    </row>
    <row r="612" customFormat="false" ht="15" hidden="false" customHeight="false" outlineLevel="0" collapsed="false">
      <c r="A612" s="11" t="s">
        <v>696</v>
      </c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3"/>
      <c r="R612" s="12"/>
      <c r="S612" s="13"/>
      <c r="T612" s="14"/>
      <c r="U612" s="12"/>
      <c r="V612" s="13"/>
      <c r="W612" s="12"/>
      <c r="X612" s="12"/>
      <c r="Y612" s="12"/>
    </row>
    <row r="613" customFormat="false" ht="15" hidden="false" customHeight="false" outlineLevel="0" collapsed="false">
      <c r="A613" s="11" t="s">
        <v>697</v>
      </c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3"/>
      <c r="R613" s="12"/>
      <c r="S613" s="13"/>
      <c r="T613" s="14"/>
      <c r="U613" s="12"/>
      <c r="V613" s="13"/>
      <c r="W613" s="12"/>
      <c r="X613" s="12"/>
      <c r="Y613" s="12"/>
    </row>
    <row r="614" customFormat="false" ht="15" hidden="false" customHeight="false" outlineLevel="0" collapsed="false">
      <c r="A614" s="11" t="s">
        <v>698</v>
      </c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3"/>
      <c r="R614" s="12"/>
      <c r="S614" s="13"/>
      <c r="T614" s="14"/>
      <c r="U614" s="12"/>
      <c r="V614" s="13"/>
      <c r="W614" s="12"/>
      <c r="X614" s="12"/>
      <c r="Y614" s="12"/>
    </row>
    <row r="615" customFormat="false" ht="15" hidden="false" customHeight="false" outlineLevel="0" collapsed="false">
      <c r="A615" s="11" t="s">
        <v>699</v>
      </c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3"/>
      <c r="R615" s="12"/>
      <c r="S615" s="13"/>
      <c r="T615" s="14"/>
      <c r="U615" s="12"/>
      <c r="V615" s="13"/>
      <c r="W615" s="12"/>
      <c r="X615" s="12"/>
      <c r="Y615" s="12"/>
    </row>
    <row r="616" customFormat="false" ht="15" hidden="false" customHeight="false" outlineLevel="0" collapsed="false">
      <c r="A616" s="11" t="s">
        <v>700</v>
      </c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3"/>
      <c r="R616" s="12"/>
      <c r="S616" s="13"/>
      <c r="T616" s="14"/>
      <c r="U616" s="12"/>
      <c r="V616" s="13"/>
      <c r="W616" s="12"/>
      <c r="X616" s="12"/>
      <c r="Y616" s="12"/>
    </row>
    <row r="617" customFormat="false" ht="15" hidden="false" customHeight="false" outlineLevel="0" collapsed="false">
      <c r="A617" s="11" t="s">
        <v>701</v>
      </c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3"/>
      <c r="R617" s="12"/>
      <c r="S617" s="13"/>
      <c r="T617" s="14"/>
      <c r="U617" s="12"/>
      <c r="V617" s="13"/>
      <c r="W617" s="12"/>
      <c r="X617" s="12"/>
      <c r="Y617" s="12"/>
    </row>
    <row r="618" customFormat="false" ht="15" hidden="false" customHeight="false" outlineLevel="0" collapsed="false">
      <c r="A618" s="11" t="s">
        <v>702</v>
      </c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3"/>
      <c r="R618" s="12"/>
      <c r="S618" s="13"/>
      <c r="T618" s="14"/>
      <c r="U618" s="12"/>
      <c r="V618" s="13"/>
      <c r="W618" s="12"/>
      <c r="X618" s="12"/>
      <c r="Y618" s="12"/>
    </row>
    <row r="619" customFormat="false" ht="15" hidden="false" customHeight="false" outlineLevel="0" collapsed="false">
      <c r="A619" s="11" t="s">
        <v>703</v>
      </c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3"/>
      <c r="R619" s="12"/>
      <c r="S619" s="13"/>
      <c r="T619" s="14"/>
      <c r="U619" s="12"/>
      <c r="V619" s="13"/>
      <c r="W619" s="12"/>
      <c r="X619" s="12"/>
      <c r="Y619" s="12"/>
    </row>
    <row r="620" customFormat="false" ht="15" hidden="false" customHeight="false" outlineLevel="0" collapsed="false">
      <c r="A620" s="11" t="s">
        <v>704</v>
      </c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3"/>
      <c r="R620" s="12"/>
      <c r="S620" s="13"/>
      <c r="T620" s="14"/>
      <c r="U620" s="12"/>
      <c r="V620" s="13"/>
      <c r="W620" s="12"/>
      <c r="X620" s="12"/>
      <c r="Y620" s="12"/>
    </row>
    <row r="621" customFormat="false" ht="15" hidden="false" customHeight="false" outlineLevel="0" collapsed="false">
      <c r="A621" s="11" t="s">
        <v>705</v>
      </c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3"/>
      <c r="R621" s="12"/>
      <c r="S621" s="13"/>
      <c r="T621" s="14"/>
      <c r="U621" s="12"/>
      <c r="V621" s="13"/>
      <c r="W621" s="12"/>
      <c r="X621" s="12"/>
      <c r="Y621" s="12"/>
    </row>
    <row r="622" customFormat="false" ht="15" hidden="false" customHeight="false" outlineLevel="0" collapsed="false">
      <c r="A622" s="11" t="s">
        <v>706</v>
      </c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3"/>
      <c r="R622" s="12"/>
      <c r="S622" s="13"/>
      <c r="T622" s="14"/>
      <c r="U622" s="12"/>
      <c r="V622" s="13"/>
      <c r="W622" s="12"/>
      <c r="X622" s="12"/>
      <c r="Y622" s="12"/>
    </row>
    <row r="623" customFormat="false" ht="15" hidden="false" customHeight="false" outlineLevel="0" collapsed="false">
      <c r="A623" s="11" t="s">
        <v>707</v>
      </c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3"/>
      <c r="R623" s="12"/>
      <c r="S623" s="13"/>
      <c r="T623" s="14"/>
      <c r="U623" s="12"/>
      <c r="V623" s="13"/>
      <c r="W623" s="12"/>
      <c r="X623" s="12"/>
      <c r="Y623" s="12"/>
    </row>
    <row r="624" customFormat="false" ht="15" hidden="false" customHeight="false" outlineLevel="0" collapsed="false">
      <c r="A624" s="11" t="s">
        <v>708</v>
      </c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3"/>
      <c r="R624" s="12"/>
      <c r="S624" s="13"/>
      <c r="T624" s="14"/>
      <c r="U624" s="12"/>
      <c r="V624" s="13"/>
      <c r="W624" s="12"/>
      <c r="X624" s="12"/>
      <c r="Y624" s="12"/>
    </row>
    <row r="625" customFormat="false" ht="15" hidden="false" customHeight="false" outlineLevel="0" collapsed="false">
      <c r="A625" s="11" t="s">
        <v>709</v>
      </c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3"/>
      <c r="R625" s="12"/>
      <c r="S625" s="13"/>
      <c r="T625" s="14"/>
      <c r="U625" s="12"/>
      <c r="V625" s="13"/>
      <c r="W625" s="12"/>
      <c r="X625" s="12"/>
      <c r="Y625" s="12"/>
    </row>
    <row r="626" customFormat="false" ht="15" hidden="false" customHeight="false" outlineLevel="0" collapsed="false">
      <c r="A626" s="11" t="s">
        <v>710</v>
      </c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3"/>
      <c r="R626" s="12"/>
      <c r="S626" s="13"/>
      <c r="T626" s="14"/>
      <c r="U626" s="12"/>
      <c r="V626" s="13"/>
      <c r="W626" s="12"/>
      <c r="X626" s="12"/>
      <c r="Y626" s="12"/>
    </row>
    <row r="627" customFormat="false" ht="15" hidden="false" customHeight="false" outlineLevel="0" collapsed="false">
      <c r="A627" s="11" t="s">
        <v>711</v>
      </c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3"/>
      <c r="R627" s="12"/>
      <c r="S627" s="13"/>
      <c r="T627" s="14"/>
      <c r="U627" s="12"/>
      <c r="V627" s="13"/>
      <c r="W627" s="12"/>
      <c r="X627" s="12"/>
      <c r="Y627" s="12"/>
    </row>
    <row r="628" customFormat="false" ht="15" hidden="false" customHeight="false" outlineLevel="0" collapsed="false">
      <c r="A628" s="11" t="s">
        <v>712</v>
      </c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3"/>
      <c r="R628" s="12"/>
      <c r="S628" s="13"/>
      <c r="T628" s="14"/>
      <c r="U628" s="12"/>
      <c r="V628" s="13"/>
      <c r="W628" s="12"/>
      <c r="X628" s="12"/>
      <c r="Y628" s="12"/>
    </row>
    <row r="629" customFormat="false" ht="15" hidden="false" customHeight="false" outlineLevel="0" collapsed="false">
      <c r="A629" s="11" t="s">
        <v>713</v>
      </c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3"/>
      <c r="R629" s="12"/>
      <c r="S629" s="13"/>
      <c r="T629" s="14"/>
      <c r="U629" s="12"/>
      <c r="V629" s="13"/>
      <c r="W629" s="12"/>
      <c r="X629" s="12"/>
      <c r="Y629" s="12"/>
    </row>
    <row r="630" customFormat="false" ht="15" hidden="false" customHeight="false" outlineLevel="0" collapsed="false">
      <c r="A630" s="11" t="s">
        <v>714</v>
      </c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3"/>
      <c r="R630" s="12"/>
      <c r="S630" s="13"/>
      <c r="T630" s="14"/>
      <c r="U630" s="12"/>
      <c r="V630" s="13"/>
      <c r="W630" s="12"/>
      <c r="X630" s="12"/>
      <c r="Y630" s="12"/>
    </row>
    <row r="631" customFormat="false" ht="15" hidden="false" customHeight="false" outlineLevel="0" collapsed="false">
      <c r="A631" s="11" t="s">
        <v>715</v>
      </c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3"/>
      <c r="R631" s="12"/>
      <c r="S631" s="13"/>
      <c r="T631" s="14"/>
      <c r="U631" s="12"/>
      <c r="V631" s="13"/>
      <c r="W631" s="12"/>
      <c r="X631" s="12"/>
      <c r="Y631" s="12"/>
    </row>
    <row r="632" customFormat="false" ht="15" hidden="false" customHeight="false" outlineLevel="0" collapsed="false">
      <c r="A632" s="11" t="s">
        <v>716</v>
      </c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3"/>
      <c r="R632" s="12"/>
      <c r="S632" s="13"/>
      <c r="T632" s="14"/>
      <c r="U632" s="12"/>
      <c r="V632" s="13"/>
      <c r="W632" s="12"/>
      <c r="X632" s="12"/>
      <c r="Y632" s="12"/>
    </row>
    <row r="633" customFormat="false" ht="15" hidden="false" customHeight="false" outlineLevel="0" collapsed="false">
      <c r="A633" s="11" t="s">
        <v>717</v>
      </c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3"/>
      <c r="R633" s="12"/>
      <c r="S633" s="13"/>
      <c r="T633" s="14"/>
      <c r="U633" s="12"/>
      <c r="V633" s="13"/>
      <c r="W633" s="12"/>
      <c r="X633" s="12"/>
      <c r="Y633" s="12"/>
    </row>
    <row r="634" customFormat="false" ht="15" hidden="false" customHeight="false" outlineLevel="0" collapsed="false">
      <c r="A634" s="11" t="s">
        <v>718</v>
      </c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3"/>
      <c r="R634" s="12"/>
      <c r="S634" s="13"/>
      <c r="T634" s="14"/>
      <c r="U634" s="12"/>
      <c r="V634" s="13"/>
      <c r="W634" s="12"/>
      <c r="X634" s="12"/>
      <c r="Y634" s="12"/>
    </row>
    <row r="635" customFormat="false" ht="15" hidden="false" customHeight="false" outlineLevel="0" collapsed="false">
      <c r="A635" s="11" t="s">
        <v>719</v>
      </c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3"/>
      <c r="R635" s="12"/>
      <c r="S635" s="13"/>
      <c r="T635" s="14"/>
      <c r="U635" s="12"/>
      <c r="V635" s="13"/>
      <c r="W635" s="12"/>
      <c r="X635" s="12"/>
      <c r="Y635" s="12"/>
    </row>
    <row r="636" customFormat="false" ht="15" hidden="false" customHeight="false" outlineLevel="0" collapsed="false">
      <c r="A636" s="11" t="s">
        <v>720</v>
      </c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3"/>
      <c r="R636" s="12"/>
      <c r="S636" s="13"/>
      <c r="T636" s="14"/>
      <c r="U636" s="12"/>
      <c r="V636" s="13"/>
      <c r="W636" s="12"/>
      <c r="X636" s="12"/>
      <c r="Y636" s="12"/>
    </row>
    <row r="637" customFormat="false" ht="15" hidden="false" customHeight="false" outlineLevel="0" collapsed="false">
      <c r="A637" s="11" t="s">
        <v>721</v>
      </c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3"/>
      <c r="R637" s="12"/>
      <c r="S637" s="13"/>
      <c r="T637" s="14"/>
      <c r="U637" s="12"/>
      <c r="V637" s="13"/>
      <c r="W637" s="12"/>
      <c r="X637" s="12"/>
      <c r="Y637" s="12"/>
    </row>
    <row r="638" customFormat="false" ht="15" hidden="false" customHeight="false" outlineLevel="0" collapsed="false">
      <c r="A638" s="11" t="s">
        <v>722</v>
      </c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3"/>
      <c r="R638" s="12"/>
      <c r="S638" s="13"/>
      <c r="T638" s="14"/>
      <c r="U638" s="12"/>
      <c r="V638" s="13"/>
      <c r="W638" s="12"/>
      <c r="X638" s="12"/>
      <c r="Y638" s="12"/>
    </row>
    <row r="639" customFormat="false" ht="15" hidden="false" customHeight="false" outlineLevel="0" collapsed="false">
      <c r="A639" s="11" t="s">
        <v>723</v>
      </c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3"/>
      <c r="R639" s="12"/>
      <c r="S639" s="13"/>
      <c r="T639" s="14"/>
      <c r="U639" s="12"/>
      <c r="V639" s="13"/>
      <c r="W639" s="12"/>
      <c r="X639" s="12"/>
      <c r="Y639" s="12"/>
    </row>
    <row r="640" customFormat="false" ht="15" hidden="false" customHeight="false" outlineLevel="0" collapsed="false">
      <c r="A640" s="11" t="s">
        <v>724</v>
      </c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3"/>
      <c r="R640" s="12"/>
      <c r="S640" s="13"/>
      <c r="T640" s="14"/>
      <c r="U640" s="12"/>
      <c r="V640" s="13"/>
      <c r="W640" s="12"/>
      <c r="X640" s="12"/>
      <c r="Y640" s="12"/>
    </row>
    <row r="641" customFormat="false" ht="15" hidden="false" customHeight="false" outlineLevel="0" collapsed="false">
      <c r="A641" s="11" t="s">
        <v>725</v>
      </c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3"/>
      <c r="R641" s="12"/>
      <c r="S641" s="13"/>
      <c r="T641" s="14"/>
      <c r="U641" s="12"/>
      <c r="V641" s="13"/>
      <c r="W641" s="12"/>
      <c r="X641" s="12"/>
      <c r="Y641" s="12"/>
    </row>
    <row r="642" customFormat="false" ht="15" hidden="false" customHeight="false" outlineLevel="0" collapsed="false">
      <c r="A642" s="11" t="s">
        <v>726</v>
      </c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3"/>
      <c r="R642" s="12"/>
      <c r="S642" s="13"/>
      <c r="T642" s="14"/>
      <c r="U642" s="12"/>
      <c r="V642" s="13"/>
      <c r="W642" s="12"/>
      <c r="X642" s="12"/>
      <c r="Y642" s="12"/>
    </row>
    <row r="643" customFormat="false" ht="15" hidden="false" customHeight="false" outlineLevel="0" collapsed="false">
      <c r="A643" s="11" t="s">
        <v>727</v>
      </c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3"/>
      <c r="R643" s="12"/>
      <c r="S643" s="13"/>
      <c r="T643" s="14"/>
      <c r="U643" s="12"/>
      <c r="V643" s="13"/>
      <c r="W643" s="12"/>
      <c r="X643" s="12"/>
      <c r="Y643" s="12"/>
    </row>
    <row r="644" customFormat="false" ht="15" hidden="false" customHeight="false" outlineLevel="0" collapsed="false">
      <c r="A644" s="11" t="s">
        <v>728</v>
      </c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3"/>
      <c r="R644" s="12"/>
      <c r="S644" s="13"/>
      <c r="T644" s="14"/>
      <c r="U644" s="12"/>
      <c r="V644" s="13"/>
      <c r="W644" s="12"/>
      <c r="X644" s="12"/>
      <c r="Y644" s="12"/>
    </row>
    <row r="645" customFormat="false" ht="15" hidden="false" customHeight="false" outlineLevel="0" collapsed="false">
      <c r="A645" s="11" t="s">
        <v>729</v>
      </c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3"/>
      <c r="R645" s="12"/>
      <c r="S645" s="13"/>
      <c r="T645" s="14"/>
      <c r="U645" s="12"/>
      <c r="V645" s="13"/>
      <c r="W645" s="12"/>
      <c r="X645" s="12"/>
      <c r="Y645" s="12"/>
    </row>
    <row r="646" customFormat="false" ht="15" hidden="false" customHeight="false" outlineLevel="0" collapsed="false">
      <c r="A646" s="11" t="s">
        <v>730</v>
      </c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3"/>
      <c r="R646" s="12"/>
      <c r="S646" s="13"/>
      <c r="T646" s="14"/>
      <c r="U646" s="12"/>
      <c r="V646" s="13"/>
      <c r="W646" s="12"/>
      <c r="X646" s="12"/>
      <c r="Y646" s="12"/>
    </row>
    <row r="647" customFormat="false" ht="15" hidden="false" customHeight="false" outlineLevel="0" collapsed="false">
      <c r="A647" s="11" t="s">
        <v>731</v>
      </c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3"/>
      <c r="R647" s="12"/>
      <c r="S647" s="13"/>
      <c r="T647" s="14"/>
      <c r="U647" s="12"/>
      <c r="V647" s="13"/>
      <c r="W647" s="12"/>
      <c r="X647" s="12"/>
      <c r="Y647" s="12"/>
    </row>
    <row r="648" customFormat="false" ht="15" hidden="false" customHeight="false" outlineLevel="0" collapsed="false">
      <c r="A648" s="11" t="s">
        <v>732</v>
      </c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3"/>
      <c r="R648" s="12"/>
      <c r="S648" s="13"/>
      <c r="T648" s="14"/>
      <c r="U648" s="12"/>
      <c r="V648" s="13"/>
      <c r="W648" s="12"/>
      <c r="X648" s="12"/>
      <c r="Y648" s="12"/>
    </row>
    <row r="649" customFormat="false" ht="15" hidden="false" customHeight="false" outlineLevel="0" collapsed="false">
      <c r="A649" s="11" t="s">
        <v>733</v>
      </c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3"/>
      <c r="R649" s="12"/>
      <c r="S649" s="13"/>
      <c r="T649" s="14"/>
      <c r="U649" s="12"/>
      <c r="V649" s="13"/>
      <c r="W649" s="12"/>
      <c r="X649" s="12"/>
      <c r="Y649" s="12"/>
    </row>
    <row r="650" customFormat="false" ht="15" hidden="false" customHeight="false" outlineLevel="0" collapsed="false">
      <c r="A650" s="11" t="s">
        <v>734</v>
      </c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3"/>
      <c r="R650" s="12"/>
      <c r="S650" s="13"/>
      <c r="T650" s="14"/>
      <c r="U650" s="12"/>
      <c r="V650" s="13"/>
      <c r="W650" s="12"/>
      <c r="X650" s="12"/>
      <c r="Y650" s="12"/>
    </row>
    <row r="651" customFormat="false" ht="15" hidden="false" customHeight="false" outlineLevel="0" collapsed="false">
      <c r="A651" s="11" t="s">
        <v>735</v>
      </c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3"/>
      <c r="R651" s="12"/>
      <c r="S651" s="13"/>
      <c r="T651" s="14"/>
      <c r="U651" s="12"/>
      <c r="V651" s="13"/>
      <c r="W651" s="12"/>
      <c r="X651" s="12"/>
      <c r="Y651" s="12"/>
    </row>
    <row r="652" customFormat="false" ht="15" hidden="false" customHeight="false" outlineLevel="0" collapsed="false">
      <c r="A652" s="11" t="s">
        <v>736</v>
      </c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3"/>
      <c r="R652" s="12"/>
      <c r="S652" s="13"/>
      <c r="T652" s="14"/>
      <c r="U652" s="12"/>
      <c r="V652" s="13"/>
      <c r="W652" s="12"/>
      <c r="X652" s="12"/>
      <c r="Y652" s="12"/>
    </row>
    <row r="653" customFormat="false" ht="15" hidden="false" customHeight="false" outlineLevel="0" collapsed="false">
      <c r="A653" s="11" t="s">
        <v>737</v>
      </c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3"/>
      <c r="R653" s="12"/>
      <c r="S653" s="13"/>
      <c r="T653" s="14"/>
      <c r="U653" s="12"/>
      <c r="V653" s="13"/>
      <c r="W653" s="12"/>
      <c r="X653" s="12"/>
      <c r="Y653" s="12"/>
    </row>
    <row r="654" customFormat="false" ht="15" hidden="false" customHeight="false" outlineLevel="0" collapsed="false">
      <c r="A654" s="11" t="s">
        <v>738</v>
      </c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3"/>
      <c r="R654" s="12"/>
      <c r="S654" s="13"/>
      <c r="T654" s="14"/>
      <c r="U654" s="12"/>
      <c r="V654" s="13"/>
      <c r="W654" s="12"/>
      <c r="X654" s="12"/>
      <c r="Y654" s="12"/>
    </row>
    <row r="655" customFormat="false" ht="15" hidden="false" customHeight="false" outlineLevel="0" collapsed="false">
      <c r="A655" s="11" t="s">
        <v>739</v>
      </c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3"/>
      <c r="R655" s="12"/>
      <c r="S655" s="13"/>
      <c r="T655" s="14"/>
      <c r="U655" s="12"/>
      <c r="V655" s="13"/>
      <c r="W655" s="12"/>
      <c r="X655" s="12"/>
      <c r="Y655" s="12"/>
    </row>
    <row r="656" customFormat="false" ht="15" hidden="false" customHeight="false" outlineLevel="0" collapsed="false">
      <c r="A656" s="11" t="s">
        <v>740</v>
      </c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3"/>
      <c r="R656" s="12"/>
      <c r="S656" s="13"/>
      <c r="T656" s="14"/>
      <c r="U656" s="12"/>
      <c r="V656" s="13"/>
      <c r="W656" s="12"/>
      <c r="X656" s="12"/>
      <c r="Y656" s="12"/>
    </row>
    <row r="657" customFormat="false" ht="15" hidden="false" customHeight="false" outlineLevel="0" collapsed="false">
      <c r="A657" s="11" t="s">
        <v>741</v>
      </c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3"/>
      <c r="R657" s="12"/>
      <c r="S657" s="13"/>
      <c r="T657" s="14"/>
      <c r="U657" s="12"/>
      <c r="V657" s="13"/>
      <c r="W657" s="12"/>
      <c r="X657" s="12"/>
      <c r="Y657" s="12"/>
    </row>
    <row r="658" customFormat="false" ht="15" hidden="false" customHeight="false" outlineLevel="0" collapsed="false">
      <c r="A658" s="11" t="s">
        <v>742</v>
      </c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3"/>
      <c r="R658" s="12"/>
      <c r="S658" s="13"/>
      <c r="T658" s="14"/>
      <c r="U658" s="12"/>
      <c r="V658" s="13"/>
      <c r="W658" s="12"/>
      <c r="X658" s="12"/>
      <c r="Y658" s="12"/>
    </row>
    <row r="659" customFormat="false" ht="15" hidden="false" customHeight="false" outlineLevel="0" collapsed="false">
      <c r="A659" s="11" t="s">
        <v>743</v>
      </c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3"/>
      <c r="R659" s="12"/>
      <c r="S659" s="13"/>
      <c r="T659" s="14"/>
      <c r="U659" s="12"/>
      <c r="V659" s="13"/>
      <c r="W659" s="12"/>
      <c r="X659" s="12"/>
      <c r="Y659" s="12"/>
    </row>
    <row r="660" customFormat="false" ht="15" hidden="false" customHeight="false" outlineLevel="0" collapsed="false">
      <c r="A660" s="11" t="s">
        <v>744</v>
      </c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3"/>
      <c r="R660" s="12"/>
      <c r="S660" s="13"/>
      <c r="T660" s="14"/>
      <c r="U660" s="12"/>
      <c r="V660" s="13"/>
      <c r="W660" s="12"/>
      <c r="X660" s="12"/>
      <c r="Y660" s="12"/>
    </row>
    <row r="661" customFormat="false" ht="15" hidden="false" customHeight="false" outlineLevel="0" collapsed="false">
      <c r="A661" s="11" t="s">
        <v>745</v>
      </c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3"/>
      <c r="R661" s="12"/>
      <c r="S661" s="13"/>
      <c r="T661" s="14"/>
      <c r="U661" s="12"/>
      <c r="V661" s="13"/>
      <c r="W661" s="12"/>
      <c r="X661" s="12"/>
      <c r="Y661" s="12"/>
    </row>
    <row r="662" customFormat="false" ht="15" hidden="false" customHeight="false" outlineLevel="0" collapsed="false">
      <c r="A662" s="11" t="s">
        <v>746</v>
      </c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3"/>
      <c r="R662" s="12"/>
      <c r="S662" s="13"/>
      <c r="T662" s="14"/>
      <c r="U662" s="12"/>
      <c r="V662" s="13"/>
      <c r="W662" s="12"/>
      <c r="X662" s="12"/>
      <c r="Y662" s="12"/>
    </row>
    <row r="663" customFormat="false" ht="15" hidden="false" customHeight="false" outlineLevel="0" collapsed="false">
      <c r="A663" s="11" t="s">
        <v>747</v>
      </c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3"/>
      <c r="R663" s="12"/>
      <c r="S663" s="13"/>
      <c r="T663" s="14"/>
      <c r="U663" s="12"/>
      <c r="V663" s="13"/>
      <c r="W663" s="12"/>
      <c r="X663" s="12"/>
      <c r="Y663" s="12"/>
    </row>
    <row r="664" customFormat="false" ht="15" hidden="false" customHeight="false" outlineLevel="0" collapsed="false">
      <c r="A664" s="11" t="s">
        <v>748</v>
      </c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3"/>
      <c r="R664" s="12"/>
      <c r="S664" s="13"/>
      <c r="T664" s="14"/>
      <c r="U664" s="12"/>
      <c r="V664" s="13"/>
      <c r="W664" s="12"/>
      <c r="X664" s="12"/>
      <c r="Y664" s="12"/>
    </row>
    <row r="665" customFormat="false" ht="15" hidden="false" customHeight="false" outlineLevel="0" collapsed="false">
      <c r="A665" s="11" t="s">
        <v>749</v>
      </c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3"/>
      <c r="R665" s="12"/>
      <c r="S665" s="13"/>
      <c r="T665" s="14"/>
      <c r="U665" s="12"/>
      <c r="V665" s="13"/>
      <c r="W665" s="12"/>
      <c r="X665" s="12"/>
      <c r="Y665" s="12"/>
    </row>
    <row r="666" customFormat="false" ht="15" hidden="false" customHeight="false" outlineLevel="0" collapsed="false">
      <c r="A666" s="11" t="s">
        <v>750</v>
      </c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3"/>
      <c r="R666" s="12"/>
      <c r="S666" s="13"/>
      <c r="T666" s="14"/>
      <c r="U666" s="12"/>
      <c r="V666" s="13"/>
      <c r="W666" s="12"/>
      <c r="X666" s="12"/>
      <c r="Y666" s="12"/>
    </row>
    <row r="667" customFormat="false" ht="15" hidden="false" customHeight="false" outlineLevel="0" collapsed="false">
      <c r="A667" s="11" t="s">
        <v>751</v>
      </c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3"/>
      <c r="R667" s="12"/>
      <c r="S667" s="13"/>
      <c r="T667" s="14"/>
      <c r="U667" s="12"/>
      <c r="V667" s="13"/>
      <c r="W667" s="12"/>
      <c r="X667" s="12"/>
      <c r="Y667" s="12"/>
    </row>
    <row r="668" customFormat="false" ht="15" hidden="false" customHeight="false" outlineLevel="0" collapsed="false">
      <c r="A668" s="11" t="s">
        <v>752</v>
      </c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3"/>
      <c r="R668" s="12"/>
      <c r="S668" s="13"/>
      <c r="T668" s="14"/>
      <c r="U668" s="12"/>
      <c r="V668" s="13"/>
      <c r="W668" s="12"/>
      <c r="X668" s="12"/>
      <c r="Y668" s="12"/>
    </row>
    <row r="669" customFormat="false" ht="15" hidden="false" customHeight="false" outlineLevel="0" collapsed="false">
      <c r="A669" s="11" t="s">
        <v>753</v>
      </c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3"/>
      <c r="R669" s="12"/>
      <c r="S669" s="13"/>
      <c r="T669" s="14"/>
      <c r="U669" s="12"/>
      <c r="V669" s="13"/>
      <c r="W669" s="12"/>
      <c r="X669" s="12"/>
      <c r="Y669" s="12"/>
    </row>
    <row r="670" customFormat="false" ht="15" hidden="false" customHeight="false" outlineLevel="0" collapsed="false">
      <c r="A670" s="11" t="s">
        <v>754</v>
      </c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3"/>
      <c r="R670" s="12"/>
      <c r="S670" s="13"/>
      <c r="T670" s="14"/>
      <c r="U670" s="12"/>
      <c r="V670" s="13"/>
      <c r="W670" s="12"/>
      <c r="X670" s="12"/>
      <c r="Y670" s="12"/>
    </row>
    <row r="671" customFormat="false" ht="15" hidden="false" customHeight="false" outlineLevel="0" collapsed="false">
      <c r="A671" s="11" t="s">
        <v>755</v>
      </c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3"/>
      <c r="R671" s="12"/>
      <c r="S671" s="13"/>
      <c r="T671" s="14"/>
      <c r="U671" s="12"/>
      <c r="V671" s="13"/>
      <c r="W671" s="12"/>
      <c r="X671" s="12"/>
      <c r="Y671" s="12"/>
    </row>
    <row r="672" customFormat="false" ht="15" hidden="false" customHeight="false" outlineLevel="0" collapsed="false">
      <c r="A672" s="11" t="s">
        <v>756</v>
      </c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3"/>
      <c r="R672" s="12"/>
      <c r="S672" s="13"/>
      <c r="T672" s="14"/>
      <c r="U672" s="12"/>
      <c r="V672" s="13"/>
      <c r="W672" s="12"/>
      <c r="X672" s="12"/>
      <c r="Y672" s="12"/>
    </row>
    <row r="673" customFormat="false" ht="15" hidden="false" customHeight="false" outlineLevel="0" collapsed="false">
      <c r="A673" s="11" t="s">
        <v>757</v>
      </c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3"/>
      <c r="R673" s="12"/>
      <c r="S673" s="13"/>
      <c r="T673" s="14"/>
      <c r="U673" s="12"/>
      <c r="V673" s="13"/>
      <c r="W673" s="12"/>
      <c r="X673" s="12"/>
      <c r="Y673" s="12"/>
    </row>
    <row r="674" customFormat="false" ht="15" hidden="false" customHeight="false" outlineLevel="0" collapsed="false">
      <c r="A674" s="11" t="s">
        <v>758</v>
      </c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3"/>
      <c r="R674" s="12"/>
      <c r="S674" s="13"/>
      <c r="T674" s="14"/>
      <c r="U674" s="12"/>
      <c r="V674" s="13"/>
      <c r="W674" s="12"/>
      <c r="X674" s="12"/>
      <c r="Y674" s="12"/>
    </row>
    <row r="675" customFormat="false" ht="15" hidden="false" customHeight="false" outlineLevel="0" collapsed="false">
      <c r="A675" s="11" t="s">
        <v>759</v>
      </c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3"/>
      <c r="R675" s="12"/>
      <c r="S675" s="13"/>
      <c r="T675" s="14"/>
      <c r="U675" s="12"/>
      <c r="V675" s="13"/>
      <c r="W675" s="12"/>
      <c r="X675" s="12"/>
      <c r="Y675" s="12"/>
    </row>
    <row r="676" customFormat="false" ht="15" hidden="false" customHeight="false" outlineLevel="0" collapsed="false">
      <c r="A676" s="11" t="s">
        <v>760</v>
      </c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3"/>
      <c r="R676" s="12"/>
      <c r="S676" s="13"/>
      <c r="T676" s="14"/>
      <c r="U676" s="12"/>
      <c r="V676" s="13"/>
      <c r="W676" s="12"/>
      <c r="X676" s="12"/>
      <c r="Y676" s="12"/>
    </row>
    <row r="677" customFormat="false" ht="15" hidden="false" customHeight="false" outlineLevel="0" collapsed="false">
      <c r="A677" s="11" t="s">
        <v>761</v>
      </c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3"/>
      <c r="R677" s="12"/>
      <c r="S677" s="13"/>
      <c r="T677" s="14"/>
      <c r="U677" s="12"/>
      <c r="V677" s="13"/>
      <c r="W677" s="12"/>
      <c r="X677" s="12"/>
      <c r="Y677" s="12"/>
    </row>
    <row r="678" customFormat="false" ht="15" hidden="false" customHeight="false" outlineLevel="0" collapsed="false">
      <c r="A678" s="11" t="s">
        <v>762</v>
      </c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3"/>
      <c r="R678" s="12"/>
      <c r="S678" s="13"/>
      <c r="T678" s="14"/>
      <c r="U678" s="12"/>
      <c r="V678" s="13"/>
      <c r="W678" s="12"/>
      <c r="X678" s="12"/>
      <c r="Y678" s="12"/>
    </row>
    <row r="679" customFormat="false" ht="15" hidden="false" customHeight="false" outlineLevel="0" collapsed="false">
      <c r="A679" s="11" t="s">
        <v>763</v>
      </c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3"/>
      <c r="R679" s="12"/>
      <c r="S679" s="13"/>
      <c r="T679" s="14"/>
      <c r="U679" s="12"/>
      <c r="V679" s="13"/>
      <c r="W679" s="12"/>
      <c r="X679" s="12"/>
      <c r="Y679" s="12"/>
    </row>
    <row r="680" customFormat="false" ht="15" hidden="false" customHeight="false" outlineLevel="0" collapsed="false">
      <c r="A680" s="11" t="s">
        <v>764</v>
      </c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3"/>
      <c r="R680" s="12"/>
      <c r="S680" s="13"/>
      <c r="T680" s="14"/>
      <c r="U680" s="12"/>
      <c r="V680" s="13"/>
      <c r="W680" s="12"/>
      <c r="X680" s="12"/>
      <c r="Y680" s="12"/>
    </row>
    <row r="681" customFormat="false" ht="15" hidden="false" customHeight="false" outlineLevel="0" collapsed="false">
      <c r="A681" s="11" t="s">
        <v>765</v>
      </c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3"/>
      <c r="R681" s="12"/>
      <c r="S681" s="13"/>
      <c r="T681" s="14"/>
      <c r="U681" s="12"/>
      <c r="V681" s="13"/>
      <c r="W681" s="12"/>
      <c r="X681" s="12"/>
      <c r="Y681" s="12"/>
    </row>
    <row r="682" customFormat="false" ht="15" hidden="false" customHeight="false" outlineLevel="0" collapsed="false">
      <c r="A682" s="11" t="s">
        <v>766</v>
      </c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3"/>
      <c r="R682" s="12"/>
      <c r="S682" s="13"/>
      <c r="T682" s="14"/>
      <c r="U682" s="12"/>
      <c r="V682" s="13"/>
      <c r="W682" s="12"/>
      <c r="X682" s="12"/>
      <c r="Y682" s="12"/>
    </row>
    <row r="683" customFormat="false" ht="15" hidden="false" customHeight="false" outlineLevel="0" collapsed="false">
      <c r="A683" s="11" t="s">
        <v>767</v>
      </c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3"/>
      <c r="R683" s="12"/>
      <c r="S683" s="13"/>
      <c r="T683" s="14"/>
      <c r="U683" s="12"/>
      <c r="V683" s="13"/>
      <c r="W683" s="12"/>
      <c r="X683" s="12"/>
      <c r="Y683" s="12"/>
    </row>
    <row r="684" customFormat="false" ht="15" hidden="false" customHeight="false" outlineLevel="0" collapsed="false">
      <c r="A684" s="11" t="s">
        <v>768</v>
      </c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3"/>
      <c r="R684" s="12"/>
      <c r="S684" s="13"/>
      <c r="T684" s="14"/>
      <c r="U684" s="12"/>
      <c r="V684" s="13"/>
      <c r="W684" s="12"/>
      <c r="X684" s="12"/>
      <c r="Y684" s="12"/>
    </row>
    <row r="685" customFormat="false" ht="15" hidden="false" customHeight="false" outlineLevel="0" collapsed="false">
      <c r="A685" s="11" t="s">
        <v>769</v>
      </c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3"/>
      <c r="R685" s="12"/>
      <c r="S685" s="13"/>
      <c r="T685" s="14"/>
      <c r="U685" s="12"/>
      <c r="V685" s="13"/>
      <c r="W685" s="12"/>
      <c r="X685" s="12"/>
      <c r="Y685" s="12"/>
    </row>
    <row r="686" customFormat="false" ht="15" hidden="false" customHeight="false" outlineLevel="0" collapsed="false">
      <c r="A686" s="11" t="s">
        <v>770</v>
      </c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3"/>
      <c r="R686" s="12"/>
      <c r="S686" s="13"/>
      <c r="T686" s="14"/>
      <c r="U686" s="12"/>
      <c r="V686" s="13"/>
      <c r="W686" s="12"/>
      <c r="X686" s="12"/>
      <c r="Y686" s="12"/>
    </row>
    <row r="687" customFormat="false" ht="15" hidden="false" customHeight="false" outlineLevel="0" collapsed="false">
      <c r="A687" s="11" t="s">
        <v>771</v>
      </c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3"/>
      <c r="R687" s="12"/>
      <c r="S687" s="13"/>
      <c r="T687" s="14"/>
      <c r="U687" s="12"/>
      <c r="V687" s="13"/>
      <c r="W687" s="12"/>
      <c r="X687" s="12"/>
      <c r="Y687" s="12"/>
    </row>
    <row r="688" customFormat="false" ht="15" hidden="false" customHeight="false" outlineLevel="0" collapsed="false">
      <c r="A688" s="11" t="s">
        <v>772</v>
      </c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3"/>
      <c r="R688" s="12"/>
      <c r="S688" s="13"/>
      <c r="T688" s="14"/>
      <c r="U688" s="12"/>
      <c r="V688" s="13"/>
      <c r="W688" s="12"/>
      <c r="X688" s="12"/>
      <c r="Y688" s="12"/>
    </row>
    <row r="689" customFormat="false" ht="15" hidden="false" customHeight="false" outlineLevel="0" collapsed="false">
      <c r="A689" s="11" t="s">
        <v>773</v>
      </c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3"/>
      <c r="R689" s="12"/>
      <c r="S689" s="13"/>
      <c r="T689" s="14"/>
      <c r="U689" s="12"/>
      <c r="V689" s="13"/>
      <c r="W689" s="12"/>
      <c r="X689" s="12"/>
      <c r="Y689" s="12"/>
    </row>
    <row r="690" customFormat="false" ht="15" hidden="false" customHeight="false" outlineLevel="0" collapsed="false">
      <c r="A690" s="11" t="s">
        <v>774</v>
      </c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3"/>
      <c r="R690" s="12"/>
      <c r="S690" s="13"/>
      <c r="T690" s="14"/>
      <c r="U690" s="12"/>
      <c r="V690" s="13"/>
      <c r="W690" s="12"/>
      <c r="X690" s="12"/>
      <c r="Y690" s="12"/>
    </row>
    <row r="691" customFormat="false" ht="15" hidden="false" customHeight="false" outlineLevel="0" collapsed="false">
      <c r="A691" s="11" t="s">
        <v>775</v>
      </c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3"/>
      <c r="R691" s="12"/>
      <c r="S691" s="13"/>
      <c r="T691" s="14"/>
      <c r="U691" s="12"/>
      <c r="V691" s="13"/>
      <c r="W691" s="12"/>
      <c r="X691" s="12"/>
      <c r="Y691" s="12"/>
    </row>
    <row r="692" customFormat="false" ht="15" hidden="false" customHeight="false" outlineLevel="0" collapsed="false">
      <c r="A692" s="11" t="s">
        <v>776</v>
      </c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3"/>
      <c r="R692" s="12"/>
      <c r="S692" s="13"/>
      <c r="T692" s="14"/>
      <c r="U692" s="12"/>
      <c r="V692" s="13"/>
      <c r="W692" s="12"/>
      <c r="X692" s="12"/>
      <c r="Y692" s="12"/>
    </row>
    <row r="693" customFormat="false" ht="15" hidden="false" customHeight="false" outlineLevel="0" collapsed="false">
      <c r="A693" s="11" t="s">
        <v>777</v>
      </c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3"/>
      <c r="R693" s="12"/>
      <c r="S693" s="13"/>
      <c r="T693" s="14"/>
      <c r="U693" s="12"/>
      <c r="V693" s="13"/>
      <c r="W693" s="12"/>
      <c r="X693" s="12"/>
      <c r="Y693" s="12"/>
    </row>
    <row r="694" customFormat="false" ht="15" hidden="false" customHeight="false" outlineLevel="0" collapsed="false">
      <c r="A694" s="11" t="s">
        <v>778</v>
      </c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3"/>
      <c r="R694" s="12"/>
      <c r="S694" s="13"/>
      <c r="T694" s="14"/>
      <c r="U694" s="12"/>
      <c r="V694" s="13"/>
      <c r="W694" s="12"/>
      <c r="X694" s="12"/>
      <c r="Y694" s="12"/>
    </row>
    <row r="695" customFormat="false" ht="15" hidden="false" customHeight="false" outlineLevel="0" collapsed="false">
      <c r="A695" s="11" t="s">
        <v>779</v>
      </c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3"/>
      <c r="R695" s="12"/>
      <c r="S695" s="13"/>
      <c r="T695" s="14"/>
      <c r="U695" s="12"/>
      <c r="V695" s="13"/>
      <c r="W695" s="12"/>
      <c r="X695" s="12"/>
      <c r="Y695" s="12"/>
    </row>
    <row r="696" customFormat="false" ht="15" hidden="false" customHeight="false" outlineLevel="0" collapsed="false">
      <c r="A696" s="11" t="s">
        <v>780</v>
      </c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3"/>
      <c r="R696" s="12"/>
      <c r="S696" s="13"/>
      <c r="T696" s="14"/>
      <c r="U696" s="12"/>
      <c r="V696" s="13"/>
      <c r="W696" s="12"/>
      <c r="X696" s="12"/>
      <c r="Y696" s="12"/>
    </row>
    <row r="697" customFormat="false" ht="15" hidden="false" customHeight="false" outlineLevel="0" collapsed="false">
      <c r="A697" s="11" t="s">
        <v>781</v>
      </c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3"/>
      <c r="R697" s="12"/>
      <c r="S697" s="13"/>
      <c r="T697" s="14"/>
      <c r="U697" s="12"/>
      <c r="V697" s="13"/>
      <c r="W697" s="12"/>
      <c r="X697" s="12"/>
      <c r="Y697" s="12"/>
    </row>
    <row r="698" customFormat="false" ht="15" hidden="false" customHeight="false" outlineLevel="0" collapsed="false">
      <c r="A698" s="11" t="s">
        <v>782</v>
      </c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3"/>
      <c r="R698" s="12"/>
      <c r="S698" s="13"/>
      <c r="T698" s="14"/>
      <c r="U698" s="12"/>
      <c r="V698" s="13"/>
      <c r="W698" s="12"/>
      <c r="X698" s="12"/>
      <c r="Y698" s="12"/>
    </row>
    <row r="699" customFormat="false" ht="15" hidden="false" customHeight="false" outlineLevel="0" collapsed="false">
      <c r="A699" s="11" t="s">
        <v>783</v>
      </c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3"/>
      <c r="R699" s="12"/>
      <c r="S699" s="13"/>
      <c r="T699" s="14"/>
      <c r="U699" s="12"/>
      <c r="V699" s="13"/>
      <c r="W699" s="12"/>
      <c r="X699" s="12"/>
      <c r="Y699" s="12"/>
    </row>
    <row r="700" customFormat="false" ht="15" hidden="false" customHeight="false" outlineLevel="0" collapsed="false">
      <c r="A700" s="11" t="s">
        <v>784</v>
      </c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3"/>
      <c r="R700" s="12"/>
      <c r="S700" s="13"/>
      <c r="T700" s="14"/>
      <c r="U700" s="12"/>
      <c r="V700" s="13"/>
      <c r="W700" s="12"/>
      <c r="X700" s="12"/>
      <c r="Y700" s="12"/>
    </row>
    <row r="701" customFormat="false" ht="15" hidden="false" customHeight="false" outlineLevel="0" collapsed="false">
      <c r="A701" s="11" t="s">
        <v>785</v>
      </c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3"/>
      <c r="R701" s="12"/>
      <c r="S701" s="13"/>
      <c r="T701" s="14"/>
      <c r="U701" s="12"/>
      <c r="V701" s="13"/>
      <c r="W701" s="12"/>
      <c r="X701" s="12"/>
      <c r="Y701" s="12"/>
    </row>
    <row r="702" customFormat="false" ht="15" hidden="false" customHeight="false" outlineLevel="0" collapsed="false">
      <c r="A702" s="11" t="s">
        <v>786</v>
      </c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3"/>
      <c r="R702" s="12"/>
      <c r="S702" s="13"/>
      <c r="T702" s="14"/>
      <c r="U702" s="12"/>
      <c r="V702" s="13"/>
      <c r="W702" s="12"/>
      <c r="X702" s="12"/>
      <c r="Y702" s="12"/>
    </row>
    <row r="703" customFormat="false" ht="15" hidden="false" customHeight="false" outlineLevel="0" collapsed="false">
      <c r="A703" s="11" t="s">
        <v>787</v>
      </c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3"/>
      <c r="R703" s="12"/>
      <c r="S703" s="13"/>
      <c r="T703" s="14"/>
      <c r="U703" s="12"/>
      <c r="V703" s="13"/>
      <c r="W703" s="12"/>
      <c r="X703" s="12"/>
      <c r="Y703" s="12"/>
    </row>
    <row r="704" customFormat="false" ht="15" hidden="false" customHeight="false" outlineLevel="0" collapsed="false">
      <c r="A704" s="11" t="s">
        <v>788</v>
      </c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3"/>
      <c r="R704" s="12"/>
      <c r="S704" s="13"/>
      <c r="T704" s="14"/>
      <c r="U704" s="12"/>
      <c r="V704" s="13"/>
      <c r="W704" s="12"/>
      <c r="X704" s="12"/>
      <c r="Y704" s="12"/>
    </row>
    <row r="705" customFormat="false" ht="15" hidden="false" customHeight="false" outlineLevel="0" collapsed="false">
      <c r="A705" s="11" t="s">
        <v>789</v>
      </c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3"/>
      <c r="R705" s="12"/>
      <c r="S705" s="13"/>
      <c r="T705" s="14"/>
      <c r="U705" s="12"/>
      <c r="V705" s="13"/>
      <c r="W705" s="12"/>
      <c r="X705" s="12"/>
      <c r="Y705" s="12"/>
    </row>
    <row r="706" customFormat="false" ht="15" hidden="false" customHeight="false" outlineLevel="0" collapsed="false">
      <c r="A706" s="11" t="s">
        <v>790</v>
      </c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3"/>
      <c r="R706" s="12"/>
      <c r="S706" s="13"/>
      <c r="T706" s="14"/>
      <c r="U706" s="12"/>
      <c r="V706" s="13"/>
      <c r="W706" s="12"/>
      <c r="X706" s="12"/>
      <c r="Y706" s="12"/>
    </row>
    <row r="707" customFormat="false" ht="15" hidden="false" customHeight="false" outlineLevel="0" collapsed="false">
      <c r="A707" s="11" t="s">
        <v>791</v>
      </c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3"/>
      <c r="R707" s="12"/>
      <c r="S707" s="13"/>
      <c r="T707" s="14"/>
      <c r="U707" s="12"/>
      <c r="V707" s="13"/>
      <c r="W707" s="12"/>
      <c r="X707" s="12"/>
      <c r="Y707" s="12"/>
    </row>
    <row r="708" customFormat="false" ht="15" hidden="false" customHeight="false" outlineLevel="0" collapsed="false">
      <c r="A708" s="11" t="s">
        <v>792</v>
      </c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3"/>
      <c r="R708" s="12"/>
      <c r="S708" s="13"/>
      <c r="T708" s="14"/>
      <c r="U708" s="12"/>
      <c r="V708" s="13"/>
      <c r="W708" s="12"/>
      <c r="X708" s="12"/>
      <c r="Y708" s="12"/>
    </row>
    <row r="709" customFormat="false" ht="15" hidden="false" customHeight="false" outlineLevel="0" collapsed="false">
      <c r="A709" s="11" t="s">
        <v>793</v>
      </c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3"/>
      <c r="R709" s="12"/>
      <c r="S709" s="13"/>
      <c r="T709" s="14"/>
      <c r="U709" s="12"/>
      <c r="V709" s="13"/>
      <c r="W709" s="12"/>
      <c r="X709" s="12"/>
      <c r="Y709" s="12"/>
    </row>
    <row r="710" customFormat="false" ht="15" hidden="false" customHeight="false" outlineLevel="0" collapsed="false">
      <c r="A710" s="11" t="s">
        <v>794</v>
      </c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3"/>
      <c r="R710" s="12"/>
      <c r="S710" s="13"/>
      <c r="T710" s="14"/>
      <c r="U710" s="12"/>
      <c r="V710" s="13"/>
      <c r="W710" s="12"/>
      <c r="X710" s="12"/>
      <c r="Y710" s="12"/>
    </row>
    <row r="711" customFormat="false" ht="15" hidden="false" customHeight="false" outlineLevel="0" collapsed="false">
      <c r="A711" s="11" t="s">
        <v>795</v>
      </c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3"/>
      <c r="R711" s="12"/>
      <c r="S711" s="13"/>
      <c r="T711" s="14"/>
      <c r="U711" s="12"/>
      <c r="V711" s="13"/>
      <c r="W711" s="12"/>
      <c r="X711" s="12"/>
      <c r="Y711" s="12"/>
    </row>
    <row r="712" customFormat="false" ht="15" hidden="false" customHeight="false" outlineLevel="0" collapsed="false">
      <c r="A712" s="11" t="s">
        <v>796</v>
      </c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3"/>
      <c r="R712" s="12"/>
      <c r="S712" s="13"/>
      <c r="T712" s="14"/>
      <c r="U712" s="12"/>
      <c r="V712" s="13"/>
      <c r="W712" s="12"/>
      <c r="X712" s="12"/>
      <c r="Y712" s="12"/>
    </row>
    <row r="713" customFormat="false" ht="15" hidden="false" customHeight="false" outlineLevel="0" collapsed="false">
      <c r="A713" s="11" t="s">
        <v>797</v>
      </c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3"/>
      <c r="R713" s="12"/>
      <c r="S713" s="13"/>
      <c r="T713" s="14"/>
      <c r="U713" s="12"/>
      <c r="V713" s="13"/>
      <c r="W713" s="12"/>
      <c r="X713" s="12"/>
      <c r="Y713" s="12"/>
    </row>
    <row r="714" customFormat="false" ht="15" hidden="false" customHeight="false" outlineLevel="0" collapsed="false">
      <c r="A714" s="11" t="s">
        <v>798</v>
      </c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3"/>
      <c r="R714" s="12"/>
      <c r="S714" s="13"/>
      <c r="T714" s="14"/>
      <c r="U714" s="12"/>
      <c r="V714" s="13"/>
      <c r="W714" s="12"/>
      <c r="X714" s="12"/>
      <c r="Y714" s="12"/>
    </row>
    <row r="715" customFormat="false" ht="15" hidden="false" customHeight="false" outlineLevel="0" collapsed="false">
      <c r="A715" s="11" t="s">
        <v>799</v>
      </c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3"/>
      <c r="R715" s="12"/>
      <c r="S715" s="13"/>
      <c r="T715" s="14"/>
      <c r="U715" s="12"/>
      <c r="V715" s="13"/>
      <c r="W715" s="12"/>
      <c r="X715" s="12"/>
      <c r="Y715" s="12"/>
    </row>
    <row r="716" customFormat="false" ht="15" hidden="false" customHeight="false" outlineLevel="0" collapsed="false">
      <c r="A716" s="11" t="s">
        <v>800</v>
      </c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3"/>
      <c r="R716" s="12"/>
      <c r="S716" s="13"/>
      <c r="T716" s="14"/>
      <c r="U716" s="12"/>
      <c r="V716" s="13"/>
      <c r="W716" s="12"/>
      <c r="X716" s="12"/>
      <c r="Y716" s="12"/>
    </row>
    <row r="717" customFormat="false" ht="15" hidden="false" customHeight="false" outlineLevel="0" collapsed="false">
      <c r="A717" s="11" t="s">
        <v>801</v>
      </c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3"/>
      <c r="R717" s="12"/>
      <c r="S717" s="13"/>
      <c r="T717" s="14"/>
      <c r="U717" s="12"/>
      <c r="V717" s="13"/>
      <c r="W717" s="12"/>
      <c r="X717" s="12"/>
      <c r="Y717" s="12"/>
    </row>
    <row r="718" customFormat="false" ht="15" hidden="false" customHeight="false" outlineLevel="0" collapsed="false">
      <c r="A718" s="11" t="s">
        <v>802</v>
      </c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3"/>
      <c r="R718" s="12"/>
      <c r="S718" s="13"/>
      <c r="T718" s="14"/>
      <c r="U718" s="12"/>
      <c r="V718" s="13"/>
      <c r="W718" s="12"/>
      <c r="X718" s="12"/>
      <c r="Y718" s="12"/>
    </row>
    <row r="719" customFormat="false" ht="15" hidden="false" customHeight="false" outlineLevel="0" collapsed="false">
      <c r="A719" s="11" t="s">
        <v>803</v>
      </c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3"/>
      <c r="R719" s="12"/>
      <c r="S719" s="13"/>
      <c r="T719" s="14"/>
      <c r="U719" s="12"/>
      <c r="V719" s="13"/>
      <c r="W719" s="12"/>
      <c r="X719" s="12"/>
      <c r="Y719" s="12"/>
    </row>
    <row r="720" customFormat="false" ht="15" hidden="false" customHeight="false" outlineLevel="0" collapsed="false">
      <c r="A720" s="11" t="s">
        <v>804</v>
      </c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3"/>
      <c r="R720" s="12"/>
      <c r="S720" s="13"/>
      <c r="T720" s="14"/>
      <c r="U720" s="12"/>
      <c r="V720" s="13"/>
      <c r="W720" s="12"/>
      <c r="X720" s="12"/>
      <c r="Y720" s="12"/>
    </row>
    <row r="721" customFormat="false" ht="15" hidden="false" customHeight="false" outlineLevel="0" collapsed="false">
      <c r="A721" s="11" t="s">
        <v>805</v>
      </c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3"/>
      <c r="R721" s="12"/>
      <c r="S721" s="13"/>
      <c r="T721" s="14"/>
      <c r="U721" s="12"/>
      <c r="V721" s="13"/>
      <c r="W721" s="12"/>
      <c r="X721" s="12"/>
      <c r="Y721" s="12"/>
    </row>
    <row r="722" customFormat="false" ht="15" hidden="false" customHeight="false" outlineLevel="0" collapsed="false">
      <c r="A722" s="11" t="s">
        <v>806</v>
      </c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3"/>
      <c r="R722" s="12"/>
      <c r="S722" s="13"/>
      <c r="T722" s="14"/>
      <c r="U722" s="12"/>
      <c r="V722" s="13"/>
      <c r="W722" s="12"/>
      <c r="X722" s="12"/>
      <c r="Y722" s="12"/>
    </row>
    <row r="723" customFormat="false" ht="15" hidden="false" customHeight="false" outlineLevel="0" collapsed="false">
      <c r="A723" s="11" t="s">
        <v>807</v>
      </c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3"/>
      <c r="R723" s="12"/>
      <c r="S723" s="13"/>
      <c r="T723" s="14"/>
      <c r="U723" s="12"/>
      <c r="V723" s="13"/>
      <c r="W723" s="12"/>
      <c r="X723" s="12"/>
      <c r="Y723" s="12"/>
    </row>
    <row r="724" customFormat="false" ht="15" hidden="false" customHeight="false" outlineLevel="0" collapsed="false">
      <c r="A724" s="11" t="s">
        <v>808</v>
      </c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3"/>
      <c r="R724" s="12"/>
      <c r="S724" s="13"/>
      <c r="T724" s="14"/>
      <c r="U724" s="12"/>
      <c r="V724" s="13"/>
      <c r="W724" s="12"/>
      <c r="X724" s="12"/>
      <c r="Y724" s="12"/>
    </row>
    <row r="725" customFormat="false" ht="15" hidden="false" customHeight="false" outlineLevel="0" collapsed="false">
      <c r="A725" s="11" t="s">
        <v>809</v>
      </c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3"/>
      <c r="R725" s="12"/>
      <c r="S725" s="13"/>
      <c r="T725" s="14"/>
      <c r="U725" s="12"/>
      <c r="V725" s="13"/>
      <c r="W725" s="12"/>
      <c r="X725" s="12"/>
      <c r="Y725" s="12"/>
    </row>
    <row r="726" customFormat="false" ht="15" hidden="false" customHeight="false" outlineLevel="0" collapsed="false">
      <c r="A726" s="11" t="s">
        <v>810</v>
      </c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3"/>
      <c r="R726" s="12"/>
      <c r="S726" s="13"/>
      <c r="T726" s="14"/>
      <c r="U726" s="12"/>
      <c r="V726" s="13"/>
      <c r="W726" s="12"/>
      <c r="X726" s="12"/>
      <c r="Y726" s="12"/>
    </row>
    <row r="727" customFormat="false" ht="15" hidden="false" customHeight="false" outlineLevel="0" collapsed="false">
      <c r="A727" s="11" t="s">
        <v>811</v>
      </c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3"/>
      <c r="R727" s="12"/>
      <c r="S727" s="13"/>
      <c r="T727" s="14"/>
      <c r="U727" s="12"/>
      <c r="V727" s="13"/>
      <c r="W727" s="12"/>
      <c r="X727" s="12"/>
      <c r="Y727" s="12"/>
    </row>
    <row r="728" customFormat="false" ht="15" hidden="false" customHeight="false" outlineLevel="0" collapsed="false">
      <c r="A728" s="11" t="s">
        <v>812</v>
      </c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3"/>
      <c r="R728" s="12"/>
      <c r="S728" s="13"/>
      <c r="T728" s="14"/>
      <c r="U728" s="12"/>
      <c r="V728" s="13"/>
      <c r="W728" s="12"/>
      <c r="X728" s="12"/>
      <c r="Y728" s="12"/>
    </row>
    <row r="729" customFormat="false" ht="15" hidden="false" customHeight="false" outlineLevel="0" collapsed="false">
      <c r="A729" s="11" t="s">
        <v>813</v>
      </c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3"/>
      <c r="R729" s="12"/>
      <c r="S729" s="13"/>
      <c r="T729" s="14"/>
      <c r="U729" s="12"/>
      <c r="V729" s="13"/>
      <c r="W729" s="12"/>
      <c r="X729" s="12"/>
      <c r="Y729" s="12"/>
    </row>
    <row r="730" customFormat="false" ht="15" hidden="false" customHeight="false" outlineLevel="0" collapsed="false">
      <c r="A730" s="11" t="s">
        <v>814</v>
      </c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3"/>
      <c r="R730" s="12"/>
      <c r="S730" s="13"/>
      <c r="T730" s="14"/>
      <c r="U730" s="12"/>
      <c r="V730" s="13"/>
      <c r="W730" s="12"/>
      <c r="X730" s="12"/>
      <c r="Y730" s="12"/>
    </row>
    <row r="731" customFormat="false" ht="15" hidden="false" customHeight="false" outlineLevel="0" collapsed="false">
      <c r="A731" s="11" t="s">
        <v>815</v>
      </c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3"/>
      <c r="R731" s="12"/>
      <c r="S731" s="13"/>
      <c r="T731" s="14"/>
      <c r="U731" s="12"/>
      <c r="V731" s="13"/>
      <c r="W731" s="12"/>
      <c r="X731" s="12"/>
      <c r="Y731" s="12"/>
    </row>
    <row r="732" customFormat="false" ht="15" hidden="false" customHeight="false" outlineLevel="0" collapsed="false">
      <c r="A732" s="11" t="s">
        <v>816</v>
      </c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3"/>
      <c r="R732" s="12"/>
      <c r="S732" s="13"/>
      <c r="T732" s="14"/>
      <c r="U732" s="12"/>
      <c r="V732" s="13"/>
      <c r="W732" s="12"/>
      <c r="X732" s="12"/>
      <c r="Y732" s="12"/>
    </row>
    <row r="733" customFormat="false" ht="15" hidden="false" customHeight="false" outlineLevel="0" collapsed="false">
      <c r="A733" s="11" t="s">
        <v>817</v>
      </c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3"/>
      <c r="R733" s="12"/>
      <c r="S733" s="13"/>
      <c r="T733" s="14"/>
      <c r="U733" s="12"/>
      <c r="V733" s="13"/>
      <c r="W733" s="12"/>
      <c r="X733" s="12"/>
      <c r="Y733" s="12"/>
    </row>
    <row r="734" customFormat="false" ht="15" hidden="false" customHeight="false" outlineLevel="0" collapsed="false">
      <c r="A734" s="11" t="s">
        <v>818</v>
      </c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3"/>
      <c r="R734" s="12"/>
      <c r="S734" s="13"/>
      <c r="T734" s="14"/>
      <c r="U734" s="12"/>
      <c r="V734" s="13"/>
      <c r="W734" s="12"/>
      <c r="X734" s="12"/>
      <c r="Y734" s="12"/>
    </row>
    <row r="735" customFormat="false" ht="15" hidden="false" customHeight="false" outlineLevel="0" collapsed="false">
      <c r="A735" s="11" t="s">
        <v>819</v>
      </c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3"/>
      <c r="R735" s="12"/>
      <c r="S735" s="13"/>
      <c r="T735" s="14"/>
      <c r="U735" s="12"/>
      <c r="V735" s="13"/>
      <c r="W735" s="12"/>
      <c r="X735" s="12"/>
      <c r="Y735" s="12"/>
    </row>
    <row r="736" customFormat="false" ht="15" hidden="false" customHeight="false" outlineLevel="0" collapsed="false">
      <c r="A736" s="11" t="s">
        <v>820</v>
      </c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3"/>
      <c r="R736" s="12"/>
      <c r="S736" s="13"/>
      <c r="T736" s="14"/>
      <c r="U736" s="12"/>
      <c r="V736" s="13"/>
      <c r="W736" s="12"/>
      <c r="X736" s="12"/>
      <c r="Y736" s="12"/>
    </row>
    <row r="737" customFormat="false" ht="15" hidden="false" customHeight="false" outlineLevel="0" collapsed="false">
      <c r="A737" s="11" t="s">
        <v>821</v>
      </c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3"/>
      <c r="R737" s="12"/>
      <c r="S737" s="13"/>
      <c r="T737" s="14"/>
      <c r="U737" s="12"/>
      <c r="V737" s="13"/>
      <c r="W737" s="12"/>
      <c r="X737" s="12"/>
      <c r="Y737" s="12"/>
    </row>
    <row r="738" customFormat="false" ht="15" hidden="false" customHeight="false" outlineLevel="0" collapsed="false">
      <c r="A738" s="11" t="s">
        <v>822</v>
      </c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3"/>
      <c r="R738" s="12"/>
      <c r="S738" s="13"/>
      <c r="T738" s="14"/>
      <c r="U738" s="12"/>
      <c r="V738" s="13"/>
      <c r="W738" s="12"/>
      <c r="X738" s="12"/>
      <c r="Y738" s="12"/>
    </row>
    <row r="739" customFormat="false" ht="15" hidden="false" customHeight="false" outlineLevel="0" collapsed="false">
      <c r="A739" s="11" t="s">
        <v>823</v>
      </c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3"/>
      <c r="R739" s="12"/>
      <c r="S739" s="13"/>
      <c r="T739" s="14"/>
      <c r="U739" s="12"/>
      <c r="V739" s="13"/>
      <c r="W739" s="12"/>
      <c r="X739" s="12"/>
      <c r="Y739" s="12"/>
    </row>
    <row r="740" customFormat="false" ht="15" hidden="false" customHeight="false" outlineLevel="0" collapsed="false">
      <c r="A740" s="11" t="s">
        <v>824</v>
      </c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3"/>
      <c r="R740" s="12"/>
      <c r="S740" s="13"/>
      <c r="T740" s="14"/>
      <c r="U740" s="12"/>
      <c r="V740" s="13"/>
      <c r="W740" s="12"/>
      <c r="X740" s="12"/>
      <c r="Y740" s="12"/>
    </row>
    <row r="741" customFormat="false" ht="15" hidden="false" customHeight="false" outlineLevel="0" collapsed="false">
      <c r="A741" s="11" t="s">
        <v>825</v>
      </c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3"/>
      <c r="R741" s="12"/>
      <c r="S741" s="13"/>
      <c r="T741" s="14"/>
      <c r="U741" s="12"/>
      <c r="V741" s="13"/>
      <c r="W741" s="12"/>
      <c r="X741" s="12"/>
      <c r="Y741" s="12"/>
    </row>
    <row r="742" customFormat="false" ht="15" hidden="false" customHeight="false" outlineLevel="0" collapsed="false">
      <c r="A742" s="11" t="s">
        <v>826</v>
      </c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3"/>
      <c r="R742" s="12"/>
      <c r="S742" s="13"/>
      <c r="T742" s="14"/>
      <c r="U742" s="12"/>
      <c r="V742" s="13"/>
      <c r="W742" s="12"/>
      <c r="X742" s="12"/>
      <c r="Y742" s="12"/>
    </row>
    <row r="743" customFormat="false" ht="15" hidden="false" customHeight="false" outlineLevel="0" collapsed="false">
      <c r="A743" s="11" t="s">
        <v>827</v>
      </c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3"/>
      <c r="R743" s="12"/>
      <c r="S743" s="13"/>
      <c r="T743" s="14"/>
      <c r="U743" s="12"/>
      <c r="V743" s="13"/>
      <c r="W743" s="12"/>
      <c r="X743" s="12"/>
      <c r="Y743" s="12"/>
    </row>
    <row r="744" customFormat="false" ht="15" hidden="false" customHeight="false" outlineLevel="0" collapsed="false">
      <c r="A744" s="11" t="s">
        <v>828</v>
      </c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3"/>
      <c r="R744" s="12"/>
      <c r="S744" s="13"/>
      <c r="T744" s="14"/>
      <c r="U744" s="12"/>
      <c r="V744" s="13"/>
      <c r="W744" s="12"/>
      <c r="X744" s="12"/>
      <c r="Y744" s="12"/>
    </row>
    <row r="745" customFormat="false" ht="15" hidden="false" customHeight="false" outlineLevel="0" collapsed="false">
      <c r="A745" s="11" t="s">
        <v>829</v>
      </c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3"/>
      <c r="R745" s="12"/>
      <c r="S745" s="13"/>
      <c r="T745" s="14"/>
      <c r="U745" s="12"/>
      <c r="V745" s="13"/>
      <c r="W745" s="12"/>
      <c r="X745" s="12"/>
      <c r="Y745" s="12"/>
    </row>
    <row r="746" customFormat="false" ht="15" hidden="false" customHeight="false" outlineLevel="0" collapsed="false">
      <c r="A746" s="11" t="s">
        <v>830</v>
      </c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3"/>
      <c r="R746" s="12"/>
      <c r="S746" s="13"/>
      <c r="T746" s="14"/>
      <c r="U746" s="12"/>
      <c r="V746" s="13"/>
      <c r="W746" s="12"/>
      <c r="X746" s="12"/>
      <c r="Y746" s="12"/>
    </row>
    <row r="747" customFormat="false" ht="15" hidden="false" customHeight="false" outlineLevel="0" collapsed="false">
      <c r="A747" s="11" t="s">
        <v>831</v>
      </c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3"/>
      <c r="R747" s="12"/>
      <c r="S747" s="13"/>
      <c r="T747" s="14"/>
      <c r="U747" s="12"/>
      <c r="V747" s="13"/>
      <c r="W747" s="12"/>
      <c r="X747" s="12"/>
      <c r="Y747" s="12"/>
    </row>
    <row r="748" customFormat="false" ht="15" hidden="false" customHeight="false" outlineLevel="0" collapsed="false">
      <c r="A748" s="11" t="s">
        <v>832</v>
      </c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3"/>
      <c r="R748" s="12"/>
      <c r="S748" s="13"/>
      <c r="T748" s="14"/>
      <c r="U748" s="12"/>
      <c r="V748" s="13"/>
      <c r="W748" s="12"/>
      <c r="X748" s="12"/>
      <c r="Y748" s="12"/>
    </row>
    <row r="749" customFormat="false" ht="15" hidden="false" customHeight="false" outlineLevel="0" collapsed="false">
      <c r="A749" s="11" t="s">
        <v>833</v>
      </c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3"/>
      <c r="R749" s="12"/>
      <c r="S749" s="13"/>
      <c r="T749" s="14"/>
      <c r="U749" s="12"/>
      <c r="V749" s="13"/>
      <c r="W749" s="12"/>
      <c r="X749" s="12"/>
      <c r="Y749" s="12"/>
    </row>
    <row r="750" customFormat="false" ht="15" hidden="false" customHeight="false" outlineLevel="0" collapsed="false">
      <c r="A750" s="11" t="s">
        <v>834</v>
      </c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3"/>
      <c r="R750" s="12"/>
      <c r="S750" s="13"/>
      <c r="T750" s="14"/>
      <c r="U750" s="12"/>
      <c r="V750" s="13"/>
      <c r="W750" s="12"/>
      <c r="X750" s="12"/>
      <c r="Y750" s="12"/>
    </row>
    <row r="751" customFormat="false" ht="15" hidden="false" customHeight="false" outlineLevel="0" collapsed="false">
      <c r="A751" s="11" t="s">
        <v>835</v>
      </c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3"/>
      <c r="R751" s="12"/>
      <c r="S751" s="13"/>
      <c r="T751" s="14"/>
      <c r="U751" s="12"/>
      <c r="V751" s="13"/>
      <c r="W751" s="12"/>
      <c r="X751" s="12"/>
      <c r="Y751" s="12"/>
    </row>
    <row r="752" customFormat="false" ht="15" hidden="false" customHeight="false" outlineLevel="0" collapsed="false">
      <c r="A752" s="11" t="s">
        <v>836</v>
      </c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3"/>
      <c r="R752" s="12"/>
      <c r="S752" s="13"/>
      <c r="T752" s="14"/>
      <c r="U752" s="12"/>
      <c r="V752" s="13"/>
      <c r="W752" s="12"/>
      <c r="X752" s="12"/>
      <c r="Y752" s="12"/>
    </row>
    <row r="753" customFormat="false" ht="15" hidden="false" customHeight="false" outlineLevel="0" collapsed="false">
      <c r="A753" s="11" t="s">
        <v>837</v>
      </c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3"/>
      <c r="R753" s="12"/>
      <c r="S753" s="13"/>
      <c r="T753" s="14"/>
      <c r="U753" s="12"/>
      <c r="V753" s="13"/>
      <c r="W753" s="12"/>
      <c r="X753" s="12"/>
      <c r="Y753" s="12"/>
    </row>
    <row r="754" customFormat="false" ht="15" hidden="false" customHeight="false" outlineLevel="0" collapsed="false">
      <c r="A754" s="11" t="s">
        <v>838</v>
      </c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3"/>
      <c r="R754" s="12"/>
      <c r="S754" s="13"/>
      <c r="T754" s="14"/>
      <c r="U754" s="12"/>
      <c r="V754" s="13"/>
      <c r="W754" s="12"/>
      <c r="X754" s="12"/>
      <c r="Y754" s="12"/>
    </row>
    <row r="755" customFormat="false" ht="15" hidden="false" customHeight="false" outlineLevel="0" collapsed="false">
      <c r="A755" s="11" t="s">
        <v>839</v>
      </c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3"/>
      <c r="R755" s="12"/>
      <c r="S755" s="13"/>
      <c r="T755" s="14"/>
      <c r="U755" s="12"/>
      <c r="V755" s="13"/>
      <c r="W755" s="12"/>
      <c r="X755" s="12"/>
      <c r="Y755" s="12"/>
    </row>
    <row r="756" customFormat="false" ht="15" hidden="false" customHeight="false" outlineLevel="0" collapsed="false">
      <c r="A756" s="11" t="s">
        <v>840</v>
      </c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3"/>
      <c r="R756" s="12"/>
      <c r="S756" s="13"/>
      <c r="T756" s="14"/>
      <c r="U756" s="12"/>
      <c r="V756" s="13"/>
      <c r="W756" s="12"/>
      <c r="X756" s="12"/>
      <c r="Y756" s="12"/>
    </row>
    <row r="757" customFormat="false" ht="15" hidden="false" customHeight="false" outlineLevel="0" collapsed="false">
      <c r="A757" s="11" t="s">
        <v>841</v>
      </c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3"/>
      <c r="R757" s="12"/>
      <c r="S757" s="13"/>
      <c r="T757" s="14"/>
      <c r="U757" s="12"/>
      <c r="V757" s="13"/>
      <c r="W757" s="12"/>
      <c r="X757" s="12"/>
      <c r="Y757" s="12"/>
    </row>
    <row r="758" customFormat="false" ht="15" hidden="false" customHeight="false" outlineLevel="0" collapsed="false">
      <c r="A758" s="11" t="s">
        <v>842</v>
      </c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3"/>
      <c r="R758" s="12"/>
      <c r="S758" s="13"/>
      <c r="T758" s="14"/>
      <c r="U758" s="12"/>
      <c r="V758" s="13"/>
      <c r="W758" s="12"/>
      <c r="X758" s="12"/>
      <c r="Y758" s="12"/>
    </row>
    <row r="759" customFormat="false" ht="15" hidden="false" customHeight="false" outlineLevel="0" collapsed="false">
      <c r="A759" s="11" t="s">
        <v>843</v>
      </c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3"/>
      <c r="R759" s="12"/>
      <c r="S759" s="13"/>
      <c r="T759" s="14"/>
      <c r="U759" s="12"/>
      <c r="V759" s="13"/>
      <c r="W759" s="12"/>
      <c r="X759" s="12"/>
      <c r="Y759" s="12"/>
    </row>
    <row r="760" customFormat="false" ht="15" hidden="false" customHeight="false" outlineLevel="0" collapsed="false">
      <c r="A760" s="11" t="s">
        <v>844</v>
      </c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3"/>
      <c r="R760" s="12"/>
      <c r="S760" s="13"/>
      <c r="T760" s="14"/>
      <c r="U760" s="12"/>
      <c r="V760" s="13"/>
      <c r="W760" s="12"/>
      <c r="X760" s="12"/>
      <c r="Y760" s="12"/>
    </row>
    <row r="761" customFormat="false" ht="15" hidden="false" customHeight="false" outlineLevel="0" collapsed="false">
      <c r="A761" s="11" t="s">
        <v>845</v>
      </c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3"/>
      <c r="R761" s="12"/>
      <c r="S761" s="13"/>
      <c r="T761" s="14"/>
      <c r="U761" s="12"/>
      <c r="V761" s="13"/>
      <c r="W761" s="12"/>
      <c r="X761" s="12"/>
      <c r="Y761" s="12"/>
    </row>
    <row r="762" customFormat="false" ht="15" hidden="false" customHeight="false" outlineLevel="0" collapsed="false">
      <c r="A762" s="11" t="s">
        <v>846</v>
      </c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3"/>
      <c r="R762" s="12"/>
      <c r="S762" s="13"/>
      <c r="T762" s="14"/>
      <c r="U762" s="12"/>
      <c r="V762" s="13"/>
      <c r="W762" s="12"/>
      <c r="X762" s="12"/>
      <c r="Y762" s="12"/>
    </row>
    <row r="763" customFormat="false" ht="15" hidden="false" customHeight="false" outlineLevel="0" collapsed="false">
      <c r="A763" s="11" t="s">
        <v>847</v>
      </c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3"/>
      <c r="R763" s="12"/>
      <c r="S763" s="13"/>
      <c r="T763" s="14"/>
      <c r="U763" s="12"/>
      <c r="V763" s="13"/>
      <c r="W763" s="12"/>
      <c r="X763" s="12"/>
      <c r="Y763" s="12"/>
    </row>
    <row r="764" customFormat="false" ht="15" hidden="false" customHeight="false" outlineLevel="0" collapsed="false">
      <c r="A764" s="11" t="s">
        <v>848</v>
      </c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3"/>
      <c r="R764" s="12"/>
      <c r="S764" s="13"/>
      <c r="T764" s="14"/>
      <c r="U764" s="12"/>
      <c r="V764" s="13"/>
      <c r="W764" s="12"/>
      <c r="X764" s="12"/>
      <c r="Y764" s="12"/>
    </row>
    <row r="765" customFormat="false" ht="15" hidden="false" customHeight="false" outlineLevel="0" collapsed="false">
      <c r="A765" s="11" t="s">
        <v>849</v>
      </c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3"/>
      <c r="R765" s="12"/>
      <c r="S765" s="13"/>
      <c r="T765" s="14"/>
      <c r="U765" s="12"/>
      <c r="V765" s="13"/>
      <c r="W765" s="12"/>
      <c r="X765" s="12"/>
      <c r="Y765" s="12"/>
    </row>
    <row r="766" customFormat="false" ht="15" hidden="false" customHeight="false" outlineLevel="0" collapsed="false">
      <c r="A766" s="11" t="s">
        <v>850</v>
      </c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3"/>
      <c r="R766" s="12"/>
      <c r="S766" s="13"/>
      <c r="T766" s="14"/>
      <c r="U766" s="12"/>
      <c r="V766" s="13"/>
      <c r="W766" s="12"/>
      <c r="X766" s="12"/>
      <c r="Y766" s="12"/>
    </row>
    <row r="767" customFormat="false" ht="15" hidden="false" customHeight="false" outlineLevel="0" collapsed="false">
      <c r="A767" s="11" t="s">
        <v>851</v>
      </c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3"/>
      <c r="R767" s="12"/>
      <c r="S767" s="13"/>
      <c r="T767" s="14"/>
      <c r="U767" s="12"/>
      <c r="V767" s="13"/>
      <c r="W767" s="12"/>
      <c r="X767" s="12"/>
      <c r="Y767" s="12"/>
    </row>
    <row r="768" customFormat="false" ht="15" hidden="false" customHeight="false" outlineLevel="0" collapsed="false">
      <c r="A768" s="11" t="s">
        <v>852</v>
      </c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3"/>
      <c r="R768" s="12"/>
      <c r="S768" s="13"/>
      <c r="T768" s="14"/>
      <c r="U768" s="12"/>
      <c r="V768" s="13"/>
      <c r="W768" s="12"/>
      <c r="X768" s="12"/>
      <c r="Y768" s="12"/>
    </row>
    <row r="769" customFormat="false" ht="15" hidden="false" customHeight="false" outlineLevel="0" collapsed="false">
      <c r="A769" s="11" t="s">
        <v>853</v>
      </c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3"/>
      <c r="R769" s="12"/>
      <c r="S769" s="13"/>
      <c r="T769" s="14"/>
      <c r="U769" s="12"/>
      <c r="V769" s="13"/>
      <c r="W769" s="12"/>
      <c r="X769" s="12"/>
      <c r="Y769" s="12"/>
    </row>
    <row r="770" customFormat="false" ht="15" hidden="false" customHeight="false" outlineLevel="0" collapsed="false">
      <c r="A770" s="11" t="s">
        <v>854</v>
      </c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3"/>
      <c r="R770" s="12"/>
      <c r="S770" s="13"/>
      <c r="T770" s="14"/>
      <c r="U770" s="12"/>
      <c r="V770" s="13"/>
      <c r="W770" s="12"/>
      <c r="X770" s="12"/>
      <c r="Y770" s="12"/>
    </row>
    <row r="771" customFormat="false" ht="15" hidden="false" customHeight="false" outlineLevel="0" collapsed="false">
      <c r="A771" s="11" t="s">
        <v>855</v>
      </c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3"/>
      <c r="R771" s="12"/>
      <c r="S771" s="13"/>
      <c r="T771" s="14"/>
      <c r="U771" s="12"/>
      <c r="V771" s="13"/>
      <c r="W771" s="12"/>
      <c r="X771" s="12"/>
      <c r="Y771" s="12"/>
    </row>
    <row r="772" customFormat="false" ht="15" hidden="false" customHeight="false" outlineLevel="0" collapsed="false">
      <c r="A772" s="11" t="s">
        <v>856</v>
      </c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3"/>
      <c r="R772" s="12"/>
      <c r="S772" s="13"/>
      <c r="T772" s="14"/>
      <c r="U772" s="12"/>
      <c r="V772" s="13"/>
      <c r="W772" s="12"/>
      <c r="X772" s="12"/>
      <c r="Y772" s="12"/>
    </row>
    <row r="773" customFormat="false" ht="15" hidden="false" customHeight="false" outlineLevel="0" collapsed="false">
      <c r="A773" s="11" t="s">
        <v>857</v>
      </c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3"/>
      <c r="R773" s="12"/>
      <c r="S773" s="13"/>
      <c r="T773" s="14"/>
      <c r="U773" s="12"/>
      <c r="V773" s="13"/>
      <c r="W773" s="12"/>
      <c r="X773" s="12"/>
      <c r="Y773" s="12"/>
    </row>
    <row r="774" customFormat="false" ht="15" hidden="false" customHeight="false" outlineLevel="0" collapsed="false">
      <c r="A774" s="11" t="s">
        <v>858</v>
      </c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3"/>
      <c r="R774" s="12"/>
      <c r="S774" s="13"/>
      <c r="T774" s="14"/>
      <c r="U774" s="12"/>
      <c r="V774" s="13"/>
      <c r="W774" s="12"/>
      <c r="X774" s="12"/>
      <c r="Y774" s="12"/>
    </row>
    <row r="775" customFormat="false" ht="15" hidden="false" customHeight="false" outlineLevel="0" collapsed="false">
      <c r="A775" s="11" t="s">
        <v>859</v>
      </c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3"/>
      <c r="R775" s="12"/>
      <c r="S775" s="13"/>
      <c r="T775" s="14"/>
      <c r="U775" s="12"/>
      <c r="V775" s="13"/>
      <c r="W775" s="12"/>
      <c r="X775" s="12"/>
      <c r="Y775" s="12"/>
    </row>
    <row r="776" customFormat="false" ht="15" hidden="false" customHeight="false" outlineLevel="0" collapsed="false">
      <c r="A776" s="11" t="s">
        <v>860</v>
      </c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3"/>
      <c r="R776" s="12"/>
      <c r="S776" s="13"/>
      <c r="T776" s="14"/>
      <c r="U776" s="12"/>
      <c r="V776" s="13"/>
      <c r="W776" s="12"/>
      <c r="X776" s="12"/>
      <c r="Y776" s="12"/>
    </row>
    <row r="777" customFormat="false" ht="15" hidden="false" customHeight="false" outlineLevel="0" collapsed="false">
      <c r="A777" s="11" t="s">
        <v>861</v>
      </c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3"/>
      <c r="R777" s="12"/>
      <c r="S777" s="13"/>
      <c r="T777" s="14"/>
      <c r="U777" s="12"/>
      <c r="V777" s="13"/>
      <c r="W777" s="12"/>
      <c r="X777" s="12"/>
      <c r="Y777" s="12"/>
    </row>
    <row r="778" customFormat="false" ht="15" hidden="false" customHeight="false" outlineLevel="0" collapsed="false">
      <c r="A778" s="11" t="s">
        <v>862</v>
      </c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3"/>
      <c r="R778" s="12"/>
      <c r="S778" s="13"/>
      <c r="T778" s="14"/>
      <c r="U778" s="12"/>
      <c r="V778" s="13"/>
      <c r="W778" s="12"/>
      <c r="X778" s="12"/>
      <c r="Y778" s="12"/>
    </row>
    <row r="779" customFormat="false" ht="15" hidden="false" customHeight="false" outlineLevel="0" collapsed="false">
      <c r="A779" s="11" t="s">
        <v>863</v>
      </c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3"/>
      <c r="R779" s="12"/>
      <c r="S779" s="13"/>
      <c r="T779" s="14"/>
      <c r="U779" s="12"/>
      <c r="V779" s="13"/>
      <c r="W779" s="12"/>
      <c r="X779" s="12"/>
      <c r="Y779" s="12"/>
    </row>
    <row r="780" customFormat="false" ht="15" hidden="false" customHeight="false" outlineLevel="0" collapsed="false">
      <c r="A780" s="11" t="s">
        <v>864</v>
      </c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3"/>
      <c r="R780" s="12"/>
      <c r="S780" s="13"/>
      <c r="T780" s="14"/>
      <c r="U780" s="12"/>
      <c r="V780" s="13"/>
      <c r="W780" s="12"/>
      <c r="X780" s="12"/>
      <c r="Y780" s="12"/>
    </row>
    <row r="781" customFormat="false" ht="15" hidden="false" customHeight="false" outlineLevel="0" collapsed="false">
      <c r="A781" s="11" t="s">
        <v>865</v>
      </c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3"/>
      <c r="R781" s="12"/>
      <c r="S781" s="13"/>
      <c r="T781" s="14"/>
      <c r="U781" s="12"/>
      <c r="V781" s="13"/>
      <c r="W781" s="12"/>
      <c r="X781" s="12"/>
      <c r="Y781" s="12"/>
    </row>
    <row r="782" customFormat="false" ht="15" hidden="false" customHeight="false" outlineLevel="0" collapsed="false">
      <c r="A782" s="11" t="s">
        <v>866</v>
      </c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3"/>
      <c r="R782" s="12"/>
      <c r="S782" s="13"/>
      <c r="T782" s="14"/>
      <c r="U782" s="12"/>
      <c r="V782" s="13"/>
      <c r="W782" s="12"/>
      <c r="X782" s="12"/>
      <c r="Y782" s="12"/>
    </row>
    <row r="783" customFormat="false" ht="15" hidden="false" customHeight="false" outlineLevel="0" collapsed="false">
      <c r="A783" s="11" t="s">
        <v>867</v>
      </c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3"/>
      <c r="R783" s="12"/>
      <c r="S783" s="13"/>
      <c r="T783" s="14"/>
      <c r="U783" s="12"/>
      <c r="V783" s="13"/>
      <c r="W783" s="12"/>
      <c r="X783" s="12"/>
      <c r="Y783" s="12"/>
    </row>
    <row r="784" customFormat="false" ht="15" hidden="false" customHeight="false" outlineLevel="0" collapsed="false">
      <c r="A784" s="11" t="s">
        <v>868</v>
      </c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3"/>
      <c r="R784" s="12"/>
      <c r="S784" s="13"/>
      <c r="T784" s="14"/>
      <c r="U784" s="12"/>
      <c r="V784" s="13"/>
      <c r="W784" s="12"/>
      <c r="X784" s="12"/>
      <c r="Y784" s="12"/>
    </row>
    <row r="785" customFormat="false" ht="15" hidden="false" customHeight="false" outlineLevel="0" collapsed="false">
      <c r="A785" s="11" t="s">
        <v>869</v>
      </c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3"/>
      <c r="R785" s="12"/>
      <c r="S785" s="13"/>
      <c r="T785" s="14"/>
      <c r="U785" s="12"/>
      <c r="V785" s="13"/>
      <c r="W785" s="12"/>
      <c r="X785" s="12"/>
      <c r="Y785" s="12"/>
    </row>
    <row r="786" customFormat="false" ht="15" hidden="false" customHeight="false" outlineLevel="0" collapsed="false">
      <c r="A786" s="11" t="s">
        <v>870</v>
      </c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3"/>
      <c r="R786" s="12"/>
      <c r="S786" s="13"/>
      <c r="T786" s="14"/>
      <c r="U786" s="12"/>
      <c r="V786" s="13"/>
      <c r="W786" s="12"/>
      <c r="X786" s="12"/>
      <c r="Y786" s="12"/>
    </row>
    <row r="787" customFormat="false" ht="15" hidden="false" customHeight="false" outlineLevel="0" collapsed="false">
      <c r="A787" s="11" t="s">
        <v>871</v>
      </c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3"/>
      <c r="R787" s="12"/>
      <c r="S787" s="13"/>
      <c r="T787" s="14"/>
      <c r="U787" s="12"/>
      <c r="V787" s="13"/>
      <c r="W787" s="12"/>
      <c r="X787" s="12"/>
      <c r="Y787" s="12"/>
    </row>
    <row r="788" customFormat="false" ht="15" hidden="false" customHeight="false" outlineLevel="0" collapsed="false">
      <c r="A788" s="11" t="s">
        <v>872</v>
      </c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3"/>
      <c r="R788" s="12"/>
      <c r="S788" s="13"/>
      <c r="T788" s="14"/>
      <c r="U788" s="12"/>
      <c r="V788" s="13"/>
      <c r="W788" s="12"/>
      <c r="X788" s="12"/>
      <c r="Y788" s="12"/>
    </row>
    <row r="789" customFormat="false" ht="15" hidden="false" customHeight="false" outlineLevel="0" collapsed="false">
      <c r="A789" s="11" t="s">
        <v>873</v>
      </c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3"/>
      <c r="R789" s="12"/>
      <c r="S789" s="13"/>
      <c r="T789" s="14"/>
      <c r="U789" s="12"/>
      <c r="V789" s="13"/>
      <c r="W789" s="12"/>
      <c r="X789" s="12"/>
      <c r="Y789" s="12"/>
    </row>
    <row r="790" customFormat="false" ht="15" hidden="false" customHeight="false" outlineLevel="0" collapsed="false">
      <c r="A790" s="11" t="s">
        <v>874</v>
      </c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3"/>
      <c r="R790" s="12"/>
      <c r="S790" s="13"/>
      <c r="T790" s="14"/>
      <c r="U790" s="12"/>
      <c r="V790" s="13"/>
      <c r="W790" s="12"/>
      <c r="X790" s="12"/>
      <c r="Y790" s="12"/>
    </row>
    <row r="791" customFormat="false" ht="15" hidden="false" customHeight="false" outlineLevel="0" collapsed="false">
      <c r="A791" s="11" t="s">
        <v>875</v>
      </c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3"/>
      <c r="R791" s="12"/>
      <c r="S791" s="13"/>
      <c r="T791" s="14"/>
      <c r="U791" s="12"/>
      <c r="V791" s="13"/>
      <c r="W791" s="12"/>
      <c r="X791" s="12"/>
      <c r="Y791" s="12"/>
    </row>
    <row r="792" customFormat="false" ht="15" hidden="false" customHeight="false" outlineLevel="0" collapsed="false">
      <c r="A792" s="11" t="s">
        <v>876</v>
      </c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3"/>
      <c r="R792" s="12"/>
      <c r="S792" s="13"/>
      <c r="T792" s="14"/>
      <c r="U792" s="12"/>
      <c r="V792" s="13"/>
      <c r="W792" s="12"/>
      <c r="X792" s="12"/>
      <c r="Y792" s="12"/>
    </row>
    <row r="793" customFormat="false" ht="15" hidden="false" customHeight="false" outlineLevel="0" collapsed="false">
      <c r="A793" s="11" t="s">
        <v>877</v>
      </c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3"/>
      <c r="R793" s="12"/>
      <c r="S793" s="13"/>
      <c r="T793" s="14"/>
      <c r="U793" s="12"/>
      <c r="V793" s="13"/>
      <c r="W793" s="12"/>
      <c r="X793" s="12"/>
      <c r="Y793" s="12"/>
    </row>
    <row r="794" customFormat="false" ht="15" hidden="false" customHeight="false" outlineLevel="0" collapsed="false">
      <c r="A794" s="11" t="s">
        <v>878</v>
      </c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3"/>
      <c r="R794" s="12"/>
      <c r="S794" s="13"/>
      <c r="T794" s="14"/>
      <c r="U794" s="12"/>
      <c r="V794" s="13"/>
      <c r="W794" s="12"/>
      <c r="X794" s="12"/>
      <c r="Y794" s="12"/>
    </row>
    <row r="795" customFormat="false" ht="15" hidden="false" customHeight="false" outlineLevel="0" collapsed="false">
      <c r="A795" s="11" t="s">
        <v>879</v>
      </c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3"/>
      <c r="R795" s="12"/>
      <c r="S795" s="13"/>
      <c r="T795" s="14"/>
      <c r="U795" s="12"/>
      <c r="V795" s="13"/>
      <c r="W795" s="12"/>
      <c r="X795" s="12"/>
      <c r="Y795" s="12"/>
    </row>
    <row r="796" customFormat="false" ht="15" hidden="false" customHeight="false" outlineLevel="0" collapsed="false">
      <c r="A796" s="11" t="s">
        <v>880</v>
      </c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3"/>
      <c r="R796" s="12"/>
      <c r="S796" s="13"/>
      <c r="T796" s="14"/>
      <c r="U796" s="12"/>
      <c r="V796" s="13"/>
      <c r="W796" s="12"/>
      <c r="X796" s="12"/>
      <c r="Y796" s="12"/>
    </row>
    <row r="797" customFormat="false" ht="15" hidden="false" customHeight="false" outlineLevel="0" collapsed="false">
      <c r="A797" s="11" t="s">
        <v>881</v>
      </c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3"/>
      <c r="R797" s="12"/>
      <c r="S797" s="13"/>
      <c r="T797" s="14"/>
      <c r="U797" s="12"/>
      <c r="V797" s="13"/>
      <c r="W797" s="12"/>
      <c r="X797" s="12"/>
      <c r="Y797" s="12"/>
    </row>
    <row r="798" customFormat="false" ht="15" hidden="false" customHeight="false" outlineLevel="0" collapsed="false">
      <c r="A798" s="11" t="s">
        <v>882</v>
      </c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3"/>
      <c r="R798" s="12"/>
      <c r="S798" s="13"/>
      <c r="T798" s="14"/>
      <c r="U798" s="12"/>
      <c r="V798" s="13"/>
      <c r="W798" s="12"/>
      <c r="X798" s="12"/>
      <c r="Y798" s="12"/>
    </row>
    <row r="799" customFormat="false" ht="15" hidden="false" customHeight="false" outlineLevel="0" collapsed="false">
      <c r="A799" s="11" t="s">
        <v>883</v>
      </c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3"/>
      <c r="R799" s="12"/>
      <c r="S799" s="13"/>
      <c r="T799" s="14"/>
      <c r="U799" s="12"/>
      <c r="V799" s="13"/>
      <c r="W799" s="12"/>
      <c r="X799" s="12"/>
      <c r="Y799" s="12"/>
    </row>
    <row r="800" customFormat="false" ht="15" hidden="false" customHeight="false" outlineLevel="0" collapsed="false">
      <c r="A800" s="11" t="s">
        <v>884</v>
      </c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3"/>
      <c r="R800" s="12"/>
      <c r="S800" s="13"/>
      <c r="T800" s="14"/>
      <c r="U800" s="12"/>
      <c r="V800" s="13"/>
      <c r="W800" s="12"/>
      <c r="X800" s="12"/>
      <c r="Y800" s="12"/>
    </row>
    <row r="801" customFormat="false" ht="15" hidden="false" customHeight="false" outlineLevel="0" collapsed="false">
      <c r="A801" s="11" t="s">
        <v>885</v>
      </c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3"/>
      <c r="R801" s="12"/>
      <c r="S801" s="13"/>
      <c r="T801" s="14"/>
      <c r="U801" s="12"/>
      <c r="V801" s="13"/>
      <c r="W801" s="12"/>
      <c r="X801" s="12"/>
      <c r="Y801" s="12"/>
    </row>
    <row r="802" customFormat="false" ht="15" hidden="false" customHeight="false" outlineLevel="0" collapsed="false">
      <c r="A802" s="11" t="s">
        <v>886</v>
      </c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3"/>
      <c r="R802" s="12"/>
      <c r="S802" s="13"/>
      <c r="T802" s="14"/>
      <c r="U802" s="12"/>
      <c r="V802" s="13"/>
      <c r="W802" s="12"/>
      <c r="X802" s="12"/>
      <c r="Y802" s="12"/>
    </row>
    <row r="803" customFormat="false" ht="15" hidden="false" customHeight="false" outlineLevel="0" collapsed="false">
      <c r="A803" s="11" t="s">
        <v>887</v>
      </c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3"/>
      <c r="R803" s="12"/>
      <c r="S803" s="13"/>
      <c r="T803" s="14"/>
      <c r="U803" s="12"/>
      <c r="V803" s="13"/>
      <c r="W803" s="12"/>
      <c r="X803" s="12"/>
      <c r="Y803" s="12"/>
    </row>
    <row r="804" customFormat="false" ht="15" hidden="false" customHeight="false" outlineLevel="0" collapsed="false">
      <c r="A804" s="11" t="s">
        <v>888</v>
      </c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3"/>
      <c r="R804" s="12"/>
      <c r="S804" s="13"/>
      <c r="T804" s="14"/>
      <c r="U804" s="12"/>
      <c r="V804" s="13"/>
      <c r="W804" s="12"/>
      <c r="X804" s="12"/>
      <c r="Y804" s="12"/>
    </row>
    <row r="805" customFormat="false" ht="15" hidden="false" customHeight="false" outlineLevel="0" collapsed="false">
      <c r="A805" s="11" t="s">
        <v>889</v>
      </c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3"/>
      <c r="R805" s="12"/>
      <c r="S805" s="13"/>
      <c r="T805" s="14"/>
      <c r="U805" s="12"/>
      <c r="V805" s="13"/>
      <c r="W805" s="12"/>
      <c r="X805" s="12"/>
      <c r="Y805" s="12"/>
    </row>
    <row r="806" customFormat="false" ht="15" hidden="false" customHeight="false" outlineLevel="0" collapsed="false">
      <c r="A806" s="11" t="s">
        <v>890</v>
      </c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3"/>
      <c r="R806" s="12"/>
      <c r="S806" s="13"/>
      <c r="T806" s="14"/>
      <c r="U806" s="12"/>
      <c r="V806" s="13"/>
      <c r="W806" s="12"/>
      <c r="X806" s="12"/>
      <c r="Y806" s="12"/>
    </row>
    <row r="807" customFormat="false" ht="15" hidden="false" customHeight="false" outlineLevel="0" collapsed="false">
      <c r="A807" s="11" t="s">
        <v>891</v>
      </c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3"/>
      <c r="R807" s="12"/>
      <c r="S807" s="13"/>
      <c r="T807" s="14"/>
      <c r="U807" s="12"/>
      <c r="V807" s="13"/>
      <c r="W807" s="12"/>
      <c r="X807" s="12"/>
      <c r="Y807" s="12"/>
    </row>
    <row r="808" customFormat="false" ht="15" hidden="false" customHeight="false" outlineLevel="0" collapsed="false">
      <c r="A808" s="11" t="s">
        <v>892</v>
      </c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3"/>
      <c r="R808" s="12"/>
      <c r="S808" s="13"/>
      <c r="T808" s="14"/>
      <c r="U808" s="12"/>
      <c r="V808" s="13"/>
      <c r="W808" s="12"/>
      <c r="X808" s="12"/>
      <c r="Y808" s="12"/>
    </row>
    <row r="809" customFormat="false" ht="15" hidden="false" customHeight="false" outlineLevel="0" collapsed="false">
      <c r="A809" s="11" t="s">
        <v>893</v>
      </c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3"/>
      <c r="R809" s="12"/>
      <c r="S809" s="13"/>
      <c r="T809" s="14"/>
      <c r="U809" s="12"/>
      <c r="V809" s="13"/>
      <c r="W809" s="12"/>
      <c r="X809" s="12"/>
      <c r="Y809" s="12"/>
    </row>
    <row r="810" customFormat="false" ht="15" hidden="false" customHeight="false" outlineLevel="0" collapsed="false">
      <c r="A810" s="11" t="s">
        <v>894</v>
      </c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3"/>
      <c r="R810" s="12"/>
      <c r="S810" s="13"/>
      <c r="T810" s="14"/>
      <c r="U810" s="12"/>
      <c r="V810" s="13"/>
      <c r="W810" s="12"/>
      <c r="X810" s="12"/>
      <c r="Y810" s="12"/>
    </row>
    <row r="811" customFormat="false" ht="15" hidden="false" customHeight="false" outlineLevel="0" collapsed="false">
      <c r="A811" s="11" t="s">
        <v>895</v>
      </c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3"/>
      <c r="R811" s="12"/>
      <c r="S811" s="13"/>
      <c r="T811" s="14"/>
      <c r="U811" s="12"/>
      <c r="V811" s="13"/>
      <c r="W811" s="12"/>
      <c r="X811" s="12"/>
      <c r="Y811" s="12"/>
    </row>
    <row r="812" customFormat="false" ht="15" hidden="false" customHeight="false" outlineLevel="0" collapsed="false">
      <c r="A812" s="11" t="s">
        <v>896</v>
      </c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3"/>
      <c r="R812" s="12"/>
      <c r="S812" s="13"/>
      <c r="T812" s="14"/>
      <c r="U812" s="12"/>
      <c r="V812" s="13"/>
      <c r="W812" s="12"/>
      <c r="X812" s="12"/>
      <c r="Y812" s="12"/>
    </row>
    <row r="813" customFormat="false" ht="15" hidden="false" customHeight="false" outlineLevel="0" collapsed="false">
      <c r="A813" s="11" t="s">
        <v>897</v>
      </c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3"/>
      <c r="R813" s="12"/>
      <c r="S813" s="13"/>
      <c r="T813" s="14"/>
      <c r="U813" s="12"/>
      <c r="V813" s="13"/>
      <c r="W813" s="12"/>
      <c r="X813" s="12"/>
      <c r="Y813" s="12"/>
    </row>
    <row r="814" customFormat="false" ht="15" hidden="false" customHeight="false" outlineLevel="0" collapsed="false">
      <c r="A814" s="11" t="s">
        <v>898</v>
      </c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3"/>
      <c r="R814" s="12"/>
      <c r="S814" s="13"/>
      <c r="T814" s="14"/>
      <c r="U814" s="12"/>
      <c r="V814" s="13"/>
      <c r="W814" s="12"/>
      <c r="X814" s="12"/>
      <c r="Y814" s="12"/>
    </row>
    <row r="815" customFormat="false" ht="15" hidden="false" customHeight="false" outlineLevel="0" collapsed="false">
      <c r="A815" s="11" t="s">
        <v>899</v>
      </c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3"/>
      <c r="R815" s="12"/>
      <c r="S815" s="13"/>
      <c r="T815" s="14"/>
      <c r="U815" s="12"/>
      <c r="V815" s="13"/>
      <c r="W815" s="12"/>
      <c r="X815" s="12"/>
      <c r="Y815" s="12"/>
    </row>
    <row r="816" customFormat="false" ht="15" hidden="false" customHeight="false" outlineLevel="0" collapsed="false">
      <c r="A816" s="11" t="s">
        <v>900</v>
      </c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3"/>
      <c r="R816" s="12"/>
      <c r="S816" s="13"/>
      <c r="T816" s="14"/>
      <c r="U816" s="12"/>
      <c r="V816" s="13"/>
      <c r="W816" s="12"/>
      <c r="X816" s="12"/>
      <c r="Y816" s="12"/>
    </row>
    <row r="817" customFormat="false" ht="15" hidden="false" customHeight="false" outlineLevel="0" collapsed="false">
      <c r="A817" s="11" t="s">
        <v>901</v>
      </c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3"/>
      <c r="R817" s="12"/>
      <c r="S817" s="13"/>
      <c r="T817" s="14"/>
      <c r="U817" s="12"/>
      <c r="V817" s="13"/>
      <c r="W817" s="12"/>
      <c r="X817" s="12"/>
      <c r="Y817" s="12"/>
    </row>
    <row r="818" customFormat="false" ht="15" hidden="false" customHeight="false" outlineLevel="0" collapsed="false">
      <c r="A818" s="11" t="s">
        <v>902</v>
      </c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3"/>
      <c r="R818" s="12"/>
      <c r="S818" s="13"/>
      <c r="T818" s="14"/>
      <c r="U818" s="12"/>
      <c r="V818" s="13"/>
      <c r="W818" s="12"/>
      <c r="X818" s="12"/>
      <c r="Y818" s="12"/>
    </row>
    <row r="819" customFormat="false" ht="15" hidden="false" customHeight="false" outlineLevel="0" collapsed="false">
      <c r="A819" s="11" t="s">
        <v>903</v>
      </c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3"/>
      <c r="R819" s="12"/>
      <c r="S819" s="13"/>
      <c r="T819" s="14"/>
      <c r="U819" s="12"/>
      <c r="V819" s="13"/>
      <c r="W819" s="12"/>
      <c r="X819" s="12"/>
      <c r="Y819" s="12"/>
    </row>
    <row r="820" customFormat="false" ht="15" hidden="false" customHeight="false" outlineLevel="0" collapsed="false">
      <c r="A820" s="11" t="s">
        <v>904</v>
      </c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3"/>
      <c r="R820" s="12"/>
      <c r="S820" s="13"/>
      <c r="T820" s="14"/>
      <c r="U820" s="12"/>
      <c r="V820" s="13"/>
      <c r="W820" s="12"/>
      <c r="X820" s="12"/>
      <c r="Y820" s="12"/>
    </row>
    <row r="821" customFormat="false" ht="15" hidden="false" customHeight="false" outlineLevel="0" collapsed="false">
      <c r="A821" s="11" t="s">
        <v>905</v>
      </c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3"/>
      <c r="R821" s="12"/>
      <c r="S821" s="13"/>
      <c r="T821" s="14"/>
      <c r="U821" s="12"/>
      <c r="V821" s="13"/>
      <c r="W821" s="12"/>
      <c r="X821" s="12"/>
      <c r="Y821" s="12"/>
    </row>
    <row r="822" customFormat="false" ht="15" hidden="false" customHeight="false" outlineLevel="0" collapsed="false">
      <c r="A822" s="11" t="s">
        <v>906</v>
      </c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3"/>
      <c r="R822" s="12"/>
      <c r="S822" s="13"/>
      <c r="T822" s="14"/>
      <c r="U822" s="12"/>
      <c r="V822" s="13"/>
      <c r="W822" s="12"/>
      <c r="X822" s="12"/>
      <c r="Y822" s="12"/>
    </row>
    <row r="823" customFormat="false" ht="15" hidden="false" customHeight="false" outlineLevel="0" collapsed="false">
      <c r="A823" s="11" t="s">
        <v>907</v>
      </c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3"/>
      <c r="R823" s="12"/>
      <c r="S823" s="13"/>
      <c r="T823" s="14"/>
      <c r="U823" s="12"/>
      <c r="V823" s="13"/>
      <c r="W823" s="12"/>
      <c r="X823" s="12"/>
      <c r="Y823" s="12"/>
    </row>
    <row r="824" customFormat="false" ht="15" hidden="false" customHeight="false" outlineLevel="0" collapsed="false">
      <c r="A824" s="11" t="s">
        <v>908</v>
      </c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3"/>
      <c r="R824" s="12"/>
      <c r="S824" s="13"/>
      <c r="T824" s="14"/>
      <c r="U824" s="12"/>
      <c r="V824" s="13"/>
      <c r="W824" s="12"/>
      <c r="X824" s="12"/>
      <c r="Y824" s="12"/>
    </row>
    <row r="825" customFormat="false" ht="15" hidden="false" customHeight="false" outlineLevel="0" collapsed="false">
      <c r="A825" s="11" t="s">
        <v>909</v>
      </c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3"/>
      <c r="R825" s="12"/>
      <c r="S825" s="13"/>
      <c r="T825" s="14"/>
      <c r="U825" s="12"/>
      <c r="V825" s="13"/>
      <c r="W825" s="12"/>
      <c r="X825" s="12"/>
      <c r="Y825" s="12"/>
    </row>
    <row r="826" customFormat="false" ht="15" hidden="false" customHeight="false" outlineLevel="0" collapsed="false">
      <c r="A826" s="11" t="s">
        <v>910</v>
      </c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3"/>
      <c r="R826" s="12"/>
      <c r="S826" s="13"/>
      <c r="T826" s="14"/>
      <c r="U826" s="12"/>
      <c r="V826" s="13"/>
      <c r="W826" s="12"/>
      <c r="X826" s="12"/>
      <c r="Y826" s="12"/>
    </row>
    <row r="827" customFormat="false" ht="15" hidden="false" customHeight="false" outlineLevel="0" collapsed="false">
      <c r="A827" s="11" t="s">
        <v>911</v>
      </c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3"/>
      <c r="R827" s="12"/>
      <c r="S827" s="13"/>
      <c r="T827" s="14"/>
      <c r="U827" s="12"/>
      <c r="V827" s="13"/>
      <c r="W827" s="12"/>
      <c r="X827" s="12"/>
      <c r="Y827" s="12"/>
    </row>
    <row r="828" customFormat="false" ht="15" hidden="false" customHeight="false" outlineLevel="0" collapsed="false">
      <c r="A828" s="11" t="s">
        <v>912</v>
      </c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3"/>
      <c r="R828" s="12"/>
      <c r="S828" s="13"/>
      <c r="T828" s="14"/>
      <c r="U828" s="12"/>
      <c r="V828" s="13"/>
      <c r="W828" s="12"/>
      <c r="X828" s="12"/>
      <c r="Y828" s="12"/>
    </row>
    <row r="829" customFormat="false" ht="15" hidden="false" customHeight="false" outlineLevel="0" collapsed="false">
      <c r="A829" s="11" t="s">
        <v>913</v>
      </c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3"/>
      <c r="R829" s="12"/>
      <c r="S829" s="13"/>
      <c r="T829" s="14"/>
      <c r="U829" s="12"/>
      <c r="V829" s="13"/>
      <c r="W829" s="12"/>
      <c r="X829" s="12"/>
      <c r="Y829" s="12"/>
    </row>
    <row r="830" customFormat="false" ht="15" hidden="false" customHeight="false" outlineLevel="0" collapsed="false">
      <c r="A830" s="11" t="s">
        <v>914</v>
      </c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3"/>
      <c r="R830" s="12"/>
      <c r="S830" s="13"/>
      <c r="T830" s="14"/>
      <c r="U830" s="12"/>
      <c r="V830" s="13"/>
      <c r="W830" s="12"/>
      <c r="X830" s="12"/>
      <c r="Y830" s="12"/>
    </row>
    <row r="831" customFormat="false" ht="15" hidden="false" customHeight="false" outlineLevel="0" collapsed="false">
      <c r="A831" s="11" t="s">
        <v>915</v>
      </c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3"/>
      <c r="R831" s="12"/>
      <c r="S831" s="13"/>
      <c r="T831" s="14"/>
      <c r="U831" s="12"/>
      <c r="V831" s="13"/>
      <c r="W831" s="12"/>
      <c r="X831" s="12"/>
      <c r="Y831" s="12"/>
    </row>
    <row r="832" customFormat="false" ht="15" hidden="false" customHeight="false" outlineLevel="0" collapsed="false">
      <c r="A832" s="11" t="s">
        <v>916</v>
      </c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3"/>
      <c r="R832" s="12"/>
      <c r="S832" s="13"/>
      <c r="T832" s="14"/>
      <c r="U832" s="12"/>
      <c r="V832" s="13"/>
      <c r="W832" s="12"/>
      <c r="X832" s="12"/>
      <c r="Y832" s="12"/>
    </row>
    <row r="833" customFormat="false" ht="15" hidden="false" customHeight="false" outlineLevel="0" collapsed="false">
      <c r="A833" s="11" t="s">
        <v>917</v>
      </c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3"/>
      <c r="R833" s="12"/>
      <c r="S833" s="13"/>
      <c r="T833" s="14"/>
      <c r="U833" s="12"/>
      <c r="V833" s="13"/>
      <c r="W833" s="12"/>
      <c r="X833" s="12"/>
      <c r="Y833" s="12"/>
    </row>
    <row r="834" customFormat="false" ht="15" hidden="false" customHeight="false" outlineLevel="0" collapsed="false">
      <c r="A834" s="11" t="s">
        <v>918</v>
      </c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3"/>
      <c r="R834" s="12"/>
      <c r="S834" s="13"/>
      <c r="T834" s="14"/>
      <c r="U834" s="12"/>
      <c r="V834" s="13"/>
      <c r="W834" s="12"/>
      <c r="X834" s="12"/>
      <c r="Y834" s="12"/>
    </row>
    <row r="835" customFormat="false" ht="15" hidden="false" customHeight="false" outlineLevel="0" collapsed="false">
      <c r="A835" s="11" t="s">
        <v>919</v>
      </c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3"/>
      <c r="R835" s="12"/>
      <c r="S835" s="13"/>
      <c r="T835" s="14"/>
      <c r="U835" s="12"/>
      <c r="V835" s="13"/>
      <c r="W835" s="12"/>
      <c r="X835" s="12"/>
      <c r="Y835" s="12"/>
    </row>
    <row r="836" customFormat="false" ht="15" hidden="false" customHeight="false" outlineLevel="0" collapsed="false">
      <c r="A836" s="11" t="s">
        <v>920</v>
      </c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3"/>
      <c r="R836" s="12"/>
      <c r="S836" s="13"/>
      <c r="T836" s="14"/>
      <c r="U836" s="12"/>
      <c r="V836" s="13"/>
      <c r="W836" s="12"/>
      <c r="X836" s="12"/>
      <c r="Y836" s="12"/>
    </row>
    <row r="837" customFormat="false" ht="15" hidden="false" customHeight="false" outlineLevel="0" collapsed="false">
      <c r="A837" s="11" t="s">
        <v>921</v>
      </c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3"/>
      <c r="R837" s="12"/>
      <c r="S837" s="13"/>
      <c r="T837" s="14"/>
      <c r="U837" s="12"/>
      <c r="V837" s="13"/>
      <c r="W837" s="12"/>
      <c r="X837" s="12"/>
      <c r="Y837" s="12"/>
    </row>
    <row r="838" customFormat="false" ht="15" hidden="false" customHeight="false" outlineLevel="0" collapsed="false">
      <c r="A838" s="11" t="s">
        <v>922</v>
      </c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3"/>
      <c r="R838" s="12"/>
      <c r="S838" s="13"/>
      <c r="T838" s="14"/>
      <c r="U838" s="12"/>
      <c r="V838" s="13"/>
      <c r="W838" s="12"/>
      <c r="X838" s="12"/>
      <c r="Y838" s="12"/>
    </row>
    <row r="839" customFormat="false" ht="15" hidden="false" customHeight="false" outlineLevel="0" collapsed="false">
      <c r="A839" s="11" t="s">
        <v>923</v>
      </c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3"/>
      <c r="R839" s="12"/>
      <c r="S839" s="13"/>
      <c r="T839" s="14"/>
      <c r="U839" s="12"/>
      <c r="V839" s="13"/>
      <c r="W839" s="12"/>
      <c r="X839" s="12"/>
      <c r="Y839" s="12"/>
    </row>
    <row r="840" customFormat="false" ht="15" hidden="false" customHeight="false" outlineLevel="0" collapsed="false">
      <c r="A840" s="11" t="s">
        <v>924</v>
      </c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3"/>
      <c r="R840" s="12"/>
      <c r="S840" s="13"/>
      <c r="T840" s="14"/>
      <c r="U840" s="12"/>
      <c r="V840" s="13"/>
      <c r="W840" s="12"/>
      <c r="X840" s="12"/>
      <c r="Y840" s="12"/>
    </row>
    <row r="841" customFormat="false" ht="15" hidden="false" customHeight="false" outlineLevel="0" collapsed="false">
      <c r="A841" s="11" t="s">
        <v>925</v>
      </c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3"/>
      <c r="R841" s="12"/>
      <c r="S841" s="13"/>
      <c r="T841" s="14"/>
      <c r="U841" s="12"/>
      <c r="V841" s="13"/>
      <c r="W841" s="12"/>
      <c r="X841" s="12"/>
      <c r="Y841" s="12"/>
    </row>
    <row r="842" customFormat="false" ht="15" hidden="false" customHeight="false" outlineLevel="0" collapsed="false">
      <c r="A842" s="11" t="s">
        <v>926</v>
      </c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3"/>
      <c r="R842" s="12"/>
      <c r="S842" s="13"/>
      <c r="T842" s="14"/>
      <c r="U842" s="12"/>
      <c r="V842" s="13"/>
      <c r="W842" s="12"/>
      <c r="X842" s="12"/>
      <c r="Y842" s="12"/>
    </row>
    <row r="843" customFormat="false" ht="15" hidden="false" customHeight="false" outlineLevel="0" collapsed="false">
      <c r="A843" s="11" t="s">
        <v>927</v>
      </c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3"/>
      <c r="R843" s="12"/>
      <c r="S843" s="13"/>
      <c r="T843" s="14"/>
      <c r="U843" s="12"/>
      <c r="V843" s="13"/>
      <c r="W843" s="12"/>
      <c r="X843" s="12"/>
      <c r="Y843" s="12"/>
    </row>
    <row r="844" customFormat="false" ht="15" hidden="false" customHeight="false" outlineLevel="0" collapsed="false">
      <c r="A844" s="11" t="s">
        <v>928</v>
      </c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3"/>
      <c r="R844" s="12"/>
      <c r="S844" s="13"/>
      <c r="T844" s="14"/>
      <c r="U844" s="12"/>
      <c r="V844" s="13"/>
      <c r="W844" s="12"/>
      <c r="X844" s="12"/>
      <c r="Y844" s="12"/>
    </row>
    <row r="845" customFormat="false" ht="15" hidden="false" customHeight="false" outlineLevel="0" collapsed="false">
      <c r="A845" s="11" t="s">
        <v>929</v>
      </c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3"/>
      <c r="R845" s="12"/>
      <c r="S845" s="13"/>
      <c r="T845" s="14"/>
      <c r="U845" s="12"/>
      <c r="V845" s="13"/>
      <c r="W845" s="12"/>
      <c r="X845" s="12"/>
      <c r="Y845" s="12"/>
    </row>
    <row r="846" customFormat="false" ht="15" hidden="false" customHeight="false" outlineLevel="0" collapsed="false">
      <c r="A846" s="11" t="s">
        <v>930</v>
      </c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3"/>
      <c r="R846" s="12"/>
      <c r="S846" s="13"/>
      <c r="T846" s="14"/>
      <c r="U846" s="12"/>
      <c r="V846" s="13"/>
      <c r="W846" s="12"/>
      <c r="X846" s="12"/>
      <c r="Y846" s="12"/>
    </row>
    <row r="847" customFormat="false" ht="15" hidden="false" customHeight="false" outlineLevel="0" collapsed="false">
      <c r="A847" s="11" t="s">
        <v>931</v>
      </c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3"/>
      <c r="R847" s="12"/>
      <c r="S847" s="13"/>
      <c r="T847" s="14"/>
      <c r="U847" s="12"/>
      <c r="V847" s="13"/>
      <c r="W847" s="12"/>
      <c r="X847" s="12"/>
      <c r="Y847" s="12"/>
    </row>
    <row r="848" customFormat="false" ht="15" hidden="false" customHeight="false" outlineLevel="0" collapsed="false">
      <c r="A848" s="11" t="s">
        <v>932</v>
      </c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3"/>
      <c r="R848" s="12"/>
      <c r="S848" s="13"/>
      <c r="T848" s="14"/>
      <c r="U848" s="12"/>
      <c r="V848" s="13"/>
      <c r="W848" s="12"/>
      <c r="X848" s="12"/>
      <c r="Y848" s="12"/>
    </row>
    <row r="849" customFormat="false" ht="15" hidden="false" customHeight="false" outlineLevel="0" collapsed="false">
      <c r="A849" s="11" t="s">
        <v>933</v>
      </c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3"/>
      <c r="R849" s="12"/>
      <c r="S849" s="13"/>
      <c r="T849" s="14"/>
      <c r="U849" s="12"/>
      <c r="V849" s="13"/>
      <c r="W849" s="12"/>
      <c r="X849" s="12"/>
      <c r="Y849" s="12"/>
    </row>
    <row r="850" customFormat="false" ht="15" hidden="false" customHeight="false" outlineLevel="0" collapsed="false">
      <c r="A850" s="11" t="s">
        <v>934</v>
      </c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3"/>
      <c r="R850" s="12"/>
      <c r="S850" s="13"/>
      <c r="T850" s="14"/>
      <c r="U850" s="12"/>
      <c r="V850" s="13"/>
      <c r="W850" s="12"/>
      <c r="X850" s="12"/>
      <c r="Y850" s="12"/>
    </row>
    <row r="851" customFormat="false" ht="15" hidden="false" customHeight="false" outlineLevel="0" collapsed="false">
      <c r="A851" s="11" t="s">
        <v>935</v>
      </c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3"/>
      <c r="R851" s="12"/>
      <c r="S851" s="13"/>
      <c r="T851" s="14"/>
      <c r="U851" s="12"/>
      <c r="V851" s="13"/>
      <c r="W851" s="12"/>
      <c r="X851" s="12"/>
      <c r="Y851" s="12"/>
    </row>
    <row r="852" customFormat="false" ht="15" hidden="false" customHeight="false" outlineLevel="0" collapsed="false">
      <c r="A852" s="11" t="s">
        <v>936</v>
      </c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3"/>
      <c r="R852" s="12"/>
      <c r="S852" s="13"/>
      <c r="T852" s="14"/>
      <c r="U852" s="12"/>
      <c r="V852" s="13"/>
      <c r="W852" s="12"/>
      <c r="X852" s="12"/>
      <c r="Y852" s="12"/>
    </row>
    <row r="853" customFormat="false" ht="15" hidden="false" customHeight="false" outlineLevel="0" collapsed="false">
      <c r="A853" s="11" t="s">
        <v>937</v>
      </c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3"/>
      <c r="R853" s="12"/>
      <c r="S853" s="13"/>
      <c r="T853" s="14"/>
      <c r="U853" s="12"/>
      <c r="V853" s="13"/>
      <c r="W853" s="12"/>
      <c r="X853" s="12"/>
      <c r="Y853" s="12"/>
    </row>
    <row r="854" customFormat="false" ht="15" hidden="false" customHeight="false" outlineLevel="0" collapsed="false">
      <c r="A854" s="11" t="s">
        <v>938</v>
      </c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3"/>
      <c r="R854" s="12"/>
      <c r="S854" s="13"/>
      <c r="T854" s="14"/>
      <c r="U854" s="12"/>
      <c r="V854" s="13"/>
      <c r="W854" s="12"/>
      <c r="X854" s="12"/>
      <c r="Y854" s="12"/>
    </row>
    <row r="855" customFormat="false" ht="15" hidden="false" customHeight="false" outlineLevel="0" collapsed="false">
      <c r="A855" s="11" t="s">
        <v>939</v>
      </c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3"/>
      <c r="R855" s="12"/>
      <c r="S855" s="13"/>
      <c r="T855" s="14"/>
      <c r="U855" s="12"/>
      <c r="V855" s="13"/>
      <c r="W855" s="12"/>
      <c r="X855" s="12"/>
      <c r="Y855" s="12"/>
    </row>
    <row r="856" customFormat="false" ht="15" hidden="false" customHeight="false" outlineLevel="0" collapsed="false">
      <c r="A856" s="11" t="s">
        <v>940</v>
      </c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3"/>
      <c r="R856" s="12"/>
      <c r="S856" s="13"/>
      <c r="T856" s="14"/>
      <c r="U856" s="12"/>
      <c r="V856" s="13"/>
      <c r="W856" s="12"/>
      <c r="X856" s="12"/>
      <c r="Y856" s="12"/>
    </row>
    <row r="857" customFormat="false" ht="15" hidden="false" customHeight="false" outlineLevel="0" collapsed="false">
      <c r="A857" s="11" t="s">
        <v>941</v>
      </c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3"/>
      <c r="R857" s="12"/>
      <c r="S857" s="13"/>
      <c r="T857" s="14"/>
      <c r="U857" s="12"/>
      <c r="V857" s="13"/>
      <c r="W857" s="12"/>
      <c r="X857" s="12"/>
      <c r="Y857" s="12"/>
    </row>
    <row r="858" customFormat="false" ht="15" hidden="false" customHeight="false" outlineLevel="0" collapsed="false">
      <c r="A858" s="11" t="s">
        <v>942</v>
      </c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3"/>
      <c r="R858" s="12"/>
      <c r="S858" s="13"/>
      <c r="T858" s="14"/>
      <c r="U858" s="12"/>
      <c r="V858" s="13"/>
      <c r="W858" s="12"/>
      <c r="X858" s="12"/>
      <c r="Y858" s="12"/>
    </row>
    <row r="859" customFormat="false" ht="15" hidden="false" customHeight="false" outlineLevel="0" collapsed="false">
      <c r="A859" s="11" t="s">
        <v>943</v>
      </c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3"/>
      <c r="R859" s="12"/>
      <c r="S859" s="13"/>
      <c r="T859" s="14"/>
      <c r="U859" s="12"/>
      <c r="V859" s="13"/>
      <c r="W859" s="12"/>
      <c r="X859" s="12"/>
      <c r="Y859" s="12"/>
    </row>
    <row r="860" customFormat="false" ht="15" hidden="false" customHeight="false" outlineLevel="0" collapsed="false">
      <c r="A860" s="11" t="s">
        <v>944</v>
      </c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3"/>
      <c r="R860" s="12"/>
      <c r="S860" s="13"/>
      <c r="T860" s="14"/>
      <c r="U860" s="12"/>
      <c r="V860" s="13"/>
      <c r="W860" s="12"/>
      <c r="X860" s="12"/>
      <c r="Y860" s="12"/>
    </row>
    <row r="861" customFormat="false" ht="15" hidden="false" customHeight="false" outlineLevel="0" collapsed="false">
      <c r="A861" s="11" t="s">
        <v>945</v>
      </c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3"/>
      <c r="R861" s="12"/>
      <c r="S861" s="13"/>
      <c r="T861" s="14"/>
      <c r="U861" s="12"/>
      <c r="V861" s="13"/>
      <c r="W861" s="12"/>
      <c r="X861" s="12"/>
      <c r="Y861" s="12"/>
    </row>
    <row r="862" customFormat="false" ht="15" hidden="false" customHeight="false" outlineLevel="0" collapsed="false">
      <c r="A862" s="11" t="s">
        <v>946</v>
      </c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3"/>
      <c r="R862" s="12"/>
      <c r="S862" s="13"/>
      <c r="T862" s="14"/>
      <c r="U862" s="12"/>
      <c r="V862" s="13"/>
      <c r="W862" s="12"/>
      <c r="X862" s="12"/>
      <c r="Y862" s="12"/>
    </row>
    <row r="863" customFormat="false" ht="15" hidden="false" customHeight="false" outlineLevel="0" collapsed="false">
      <c r="A863" s="11" t="s">
        <v>947</v>
      </c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3"/>
      <c r="R863" s="12"/>
      <c r="S863" s="13"/>
      <c r="T863" s="14"/>
      <c r="U863" s="12"/>
      <c r="V863" s="13"/>
      <c r="W863" s="12"/>
      <c r="X863" s="12"/>
      <c r="Y863" s="12"/>
    </row>
    <row r="864" customFormat="false" ht="15" hidden="false" customHeight="false" outlineLevel="0" collapsed="false">
      <c r="A864" s="11" t="s">
        <v>948</v>
      </c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3"/>
      <c r="R864" s="12"/>
      <c r="S864" s="13"/>
      <c r="T864" s="14"/>
      <c r="U864" s="12"/>
      <c r="V864" s="13"/>
      <c r="W864" s="12"/>
      <c r="X864" s="12"/>
      <c r="Y864" s="12"/>
    </row>
    <row r="865" customFormat="false" ht="15" hidden="false" customHeight="false" outlineLevel="0" collapsed="false">
      <c r="A865" s="11" t="s">
        <v>949</v>
      </c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3"/>
      <c r="R865" s="12"/>
      <c r="S865" s="13"/>
      <c r="T865" s="14"/>
      <c r="U865" s="12"/>
      <c r="V865" s="13"/>
      <c r="W865" s="12"/>
      <c r="X865" s="12"/>
      <c r="Y865" s="12"/>
    </row>
    <row r="866" customFormat="false" ht="15" hidden="false" customHeight="false" outlineLevel="0" collapsed="false">
      <c r="A866" s="11" t="s">
        <v>950</v>
      </c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3"/>
      <c r="R866" s="12"/>
      <c r="S866" s="13"/>
      <c r="T866" s="14"/>
      <c r="U866" s="12"/>
      <c r="V866" s="13"/>
      <c r="W866" s="12"/>
      <c r="X866" s="12"/>
      <c r="Y866" s="12"/>
    </row>
    <row r="867" customFormat="false" ht="15" hidden="false" customHeight="false" outlineLevel="0" collapsed="false">
      <c r="A867" s="11" t="s">
        <v>951</v>
      </c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3"/>
      <c r="R867" s="12"/>
      <c r="S867" s="13"/>
      <c r="T867" s="14"/>
      <c r="U867" s="12"/>
      <c r="V867" s="13"/>
      <c r="W867" s="12"/>
      <c r="X867" s="12"/>
      <c r="Y867" s="12"/>
    </row>
    <row r="868" customFormat="false" ht="15" hidden="false" customHeight="false" outlineLevel="0" collapsed="false">
      <c r="A868" s="11" t="s">
        <v>952</v>
      </c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3"/>
      <c r="R868" s="12"/>
      <c r="S868" s="13"/>
      <c r="T868" s="14"/>
      <c r="U868" s="12"/>
      <c r="V868" s="13"/>
      <c r="W868" s="12"/>
      <c r="X868" s="12"/>
      <c r="Y868" s="12"/>
    </row>
    <row r="869" customFormat="false" ht="15" hidden="false" customHeight="false" outlineLevel="0" collapsed="false">
      <c r="A869" s="11" t="s">
        <v>953</v>
      </c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3"/>
      <c r="R869" s="12"/>
      <c r="S869" s="13"/>
      <c r="T869" s="14"/>
      <c r="U869" s="12"/>
      <c r="V869" s="13"/>
      <c r="W869" s="12"/>
      <c r="X869" s="12"/>
      <c r="Y869" s="12"/>
    </row>
    <row r="870" customFormat="false" ht="15" hidden="false" customHeight="false" outlineLevel="0" collapsed="false">
      <c r="A870" s="11" t="s">
        <v>954</v>
      </c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3"/>
      <c r="R870" s="12"/>
      <c r="S870" s="13"/>
      <c r="T870" s="14"/>
      <c r="U870" s="12"/>
      <c r="V870" s="13"/>
      <c r="W870" s="12"/>
      <c r="X870" s="12"/>
      <c r="Y870" s="12"/>
    </row>
    <row r="871" customFormat="false" ht="15" hidden="false" customHeight="false" outlineLevel="0" collapsed="false">
      <c r="A871" s="11" t="s">
        <v>955</v>
      </c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3"/>
      <c r="R871" s="12"/>
      <c r="S871" s="13"/>
      <c r="T871" s="14"/>
      <c r="U871" s="12"/>
      <c r="V871" s="13"/>
      <c r="W871" s="12"/>
      <c r="X871" s="12"/>
      <c r="Y871" s="12"/>
    </row>
    <row r="872" customFormat="false" ht="15" hidden="false" customHeight="false" outlineLevel="0" collapsed="false">
      <c r="A872" s="11" t="s">
        <v>956</v>
      </c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3"/>
      <c r="R872" s="12"/>
      <c r="S872" s="13"/>
      <c r="T872" s="14"/>
      <c r="U872" s="12"/>
      <c r="V872" s="13"/>
      <c r="W872" s="12"/>
      <c r="X872" s="12"/>
      <c r="Y872" s="12"/>
    </row>
    <row r="873" customFormat="false" ht="15" hidden="false" customHeight="false" outlineLevel="0" collapsed="false">
      <c r="A873" s="11" t="s">
        <v>957</v>
      </c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3"/>
      <c r="R873" s="12"/>
      <c r="S873" s="13"/>
      <c r="T873" s="14"/>
      <c r="U873" s="12"/>
      <c r="V873" s="13"/>
      <c r="W873" s="12"/>
      <c r="X873" s="12"/>
      <c r="Y873" s="12"/>
    </row>
    <row r="874" customFormat="false" ht="15" hidden="false" customHeight="false" outlineLevel="0" collapsed="false">
      <c r="A874" s="11" t="s">
        <v>958</v>
      </c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3"/>
      <c r="R874" s="12"/>
      <c r="S874" s="13"/>
      <c r="T874" s="14"/>
      <c r="U874" s="12"/>
      <c r="V874" s="13"/>
      <c r="W874" s="12"/>
      <c r="X874" s="12"/>
      <c r="Y874" s="12"/>
    </row>
    <row r="875" customFormat="false" ht="15" hidden="false" customHeight="false" outlineLevel="0" collapsed="false">
      <c r="A875" s="11" t="s">
        <v>959</v>
      </c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3"/>
      <c r="R875" s="12"/>
      <c r="S875" s="13"/>
      <c r="T875" s="14"/>
      <c r="U875" s="12"/>
      <c r="V875" s="13"/>
      <c r="W875" s="12"/>
      <c r="X875" s="12"/>
      <c r="Y875" s="12"/>
    </row>
    <row r="876" customFormat="false" ht="15" hidden="false" customHeight="false" outlineLevel="0" collapsed="false">
      <c r="A876" s="11" t="s">
        <v>960</v>
      </c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3"/>
      <c r="R876" s="12"/>
      <c r="S876" s="13"/>
      <c r="T876" s="14"/>
      <c r="U876" s="12"/>
      <c r="V876" s="13"/>
      <c r="W876" s="12"/>
      <c r="X876" s="12"/>
      <c r="Y876" s="12"/>
    </row>
    <row r="877" customFormat="false" ht="15" hidden="false" customHeight="false" outlineLevel="0" collapsed="false">
      <c r="A877" s="11" t="s">
        <v>961</v>
      </c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3"/>
      <c r="R877" s="12"/>
      <c r="S877" s="13"/>
      <c r="T877" s="14"/>
      <c r="U877" s="12"/>
      <c r="V877" s="13"/>
      <c r="W877" s="12"/>
      <c r="X877" s="12"/>
      <c r="Y877" s="12"/>
    </row>
    <row r="878" customFormat="false" ht="15" hidden="false" customHeight="false" outlineLevel="0" collapsed="false">
      <c r="A878" s="11" t="s">
        <v>962</v>
      </c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3"/>
      <c r="R878" s="12"/>
      <c r="S878" s="13"/>
      <c r="T878" s="14"/>
      <c r="U878" s="12"/>
      <c r="V878" s="13"/>
      <c r="W878" s="12"/>
      <c r="X878" s="12"/>
      <c r="Y878" s="12"/>
    </row>
    <row r="879" customFormat="false" ht="15" hidden="false" customHeight="false" outlineLevel="0" collapsed="false">
      <c r="A879" s="11" t="s">
        <v>963</v>
      </c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3"/>
      <c r="R879" s="12"/>
      <c r="S879" s="13"/>
      <c r="T879" s="14"/>
      <c r="U879" s="12"/>
      <c r="V879" s="13"/>
      <c r="W879" s="12"/>
      <c r="X879" s="12"/>
      <c r="Y879" s="12"/>
    </row>
    <row r="880" customFormat="false" ht="15" hidden="false" customHeight="false" outlineLevel="0" collapsed="false">
      <c r="A880" s="11" t="s">
        <v>964</v>
      </c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3"/>
      <c r="R880" s="12"/>
      <c r="S880" s="13"/>
      <c r="T880" s="14"/>
      <c r="U880" s="12"/>
      <c r="V880" s="13"/>
      <c r="W880" s="12"/>
      <c r="X880" s="12"/>
      <c r="Y880" s="12"/>
    </row>
    <row r="881" customFormat="false" ht="15" hidden="false" customHeight="false" outlineLevel="0" collapsed="false">
      <c r="A881" s="11" t="s">
        <v>965</v>
      </c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3"/>
      <c r="R881" s="12"/>
      <c r="S881" s="13"/>
      <c r="T881" s="14"/>
      <c r="U881" s="12"/>
      <c r="V881" s="13"/>
      <c r="W881" s="12"/>
      <c r="X881" s="12"/>
      <c r="Y881" s="12"/>
    </row>
    <row r="882" customFormat="false" ht="15" hidden="false" customHeight="false" outlineLevel="0" collapsed="false">
      <c r="A882" s="11" t="s">
        <v>966</v>
      </c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3"/>
      <c r="R882" s="12"/>
      <c r="S882" s="13"/>
      <c r="T882" s="14"/>
      <c r="U882" s="12"/>
      <c r="V882" s="13"/>
      <c r="W882" s="12"/>
      <c r="X882" s="12"/>
      <c r="Y882" s="12"/>
    </row>
    <row r="883" customFormat="false" ht="15" hidden="false" customHeight="false" outlineLevel="0" collapsed="false">
      <c r="A883" s="11" t="s">
        <v>967</v>
      </c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3"/>
      <c r="R883" s="12"/>
      <c r="S883" s="13"/>
      <c r="T883" s="14"/>
      <c r="U883" s="12"/>
      <c r="V883" s="13"/>
      <c r="W883" s="12"/>
      <c r="X883" s="12"/>
      <c r="Y883" s="12"/>
    </row>
    <row r="884" customFormat="false" ht="15" hidden="false" customHeight="false" outlineLevel="0" collapsed="false">
      <c r="A884" s="11" t="s">
        <v>968</v>
      </c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3"/>
      <c r="R884" s="12"/>
      <c r="S884" s="13"/>
      <c r="T884" s="14"/>
      <c r="U884" s="12"/>
      <c r="V884" s="13"/>
      <c r="W884" s="12"/>
      <c r="X884" s="12"/>
      <c r="Y884" s="12"/>
    </row>
    <row r="885" customFormat="false" ht="15" hidden="false" customHeight="false" outlineLevel="0" collapsed="false">
      <c r="A885" s="11" t="s">
        <v>969</v>
      </c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3"/>
      <c r="R885" s="12"/>
      <c r="S885" s="13"/>
      <c r="T885" s="14"/>
      <c r="U885" s="12"/>
      <c r="V885" s="13"/>
      <c r="W885" s="12"/>
      <c r="X885" s="12"/>
      <c r="Y885" s="12"/>
    </row>
    <row r="886" customFormat="false" ht="15" hidden="false" customHeight="false" outlineLevel="0" collapsed="false">
      <c r="A886" s="11" t="s">
        <v>970</v>
      </c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3"/>
      <c r="R886" s="12"/>
      <c r="S886" s="13"/>
      <c r="T886" s="14"/>
      <c r="U886" s="12"/>
      <c r="V886" s="13"/>
      <c r="W886" s="12"/>
      <c r="X886" s="12"/>
      <c r="Y886" s="12"/>
    </row>
    <row r="887" customFormat="false" ht="15" hidden="false" customHeight="false" outlineLevel="0" collapsed="false">
      <c r="A887" s="11" t="s">
        <v>971</v>
      </c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3"/>
      <c r="R887" s="12"/>
      <c r="S887" s="13"/>
      <c r="T887" s="14"/>
      <c r="U887" s="12"/>
      <c r="V887" s="13"/>
      <c r="W887" s="12"/>
      <c r="X887" s="12"/>
      <c r="Y887" s="12"/>
    </row>
    <row r="888" customFormat="false" ht="15" hidden="false" customHeight="false" outlineLevel="0" collapsed="false">
      <c r="A888" s="11" t="s">
        <v>972</v>
      </c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3"/>
      <c r="R888" s="12"/>
      <c r="S888" s="13"/>
      <c r="T888" s="14"/>
      <c r="U888" s="12"/>
      <c r="V888" s="13"/>
      <c r="W888" s="12"/>
      <c r="X888" s="12"/>
      <c r="Y888" s="12"/>
    </row>
    <row r="889" customFormat="false" ht="15" hidden="false" customHeight="false" outlineLevel="0" collapsed="false">
      <c r="A889" s="11" t="s">
        <v>973</v>
      </c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3"/>
      <c r="R889" s="12"/>
      <c r="S889" s="13"/>
      <c r="T889" s="14"/>
      <c r="U889" s="12"/>
      <c r="V889" s="13"/>
      <c r="W889" s="12"/>
      <c r="X889" s="12"/>
      <c r="Y889" s="12"/>
    </row>
    <row r="890" customFormat="false" ht="15" hidden="false" customHeight="false" outlineLevel="0" collapsed="false">
      <c r="A890" s="11" t="s">
        <v>974</v>
      </c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3"/>
      <c r="R890" s="12"/>
      <c r="S890" s="13"/>
      <c r="T890" s="14"/>
      <c r="U890" s="12"/>
      <c r="V890" s="13"/>
      <c r="W890" s="12"/>
      <c r="X890" s="12"/>
      <c r="Y890" s="12"/>
    </row>
    <row r="891" customFormat="false" ht="15" hidden="false" customHeight="false" outlineLevel="0" collapsed="false">
      <c r="A891" s="11" t="s">
        <v>975</v>
      </c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3"/>
      <c r="R891" s="12"/>
      <c r="S891" s="13"/>
      <c r="T891" s="14"/>
      <c r="U891" s="12"/>
      <c r="V891" s="13"/>
      <c r="W891" s="12"/>
      <c r="X891" s="12"/>
      <c r="Y891" s="12"/>
    </row>
    <row r="892" customFormat="false" ht="15" hidden="false" customHeight="false" outlineLevel="0" collapsed="false">
      <c r="A892" s="11" t="s">
        <v>976</v>
      </c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3"/>
      <c r="R892" s="12"/>
      <c r="S892" s="13"/>
      <c r="T892" s="14"/>
      <c r="U892" s="12"/>
      <c r="V892" s="13"/>
      <c r="W892" s="12"/>
      <c r="X892" s="12"/>
      <c r="Y892" s="12"/>
    </row>
    <row r="893" customFormat="false" ht="15" hidden="false" customHeight="false" outlineLevel="0" collapsed="false">
      <c r="A893" s="11" t="s">
        <v>977</v>
      </c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3"/>
      <c r="R893" s="12"/>
      <c r="S893" s="13"/>
      <c r="T893" s="14"/>
      <c r="U893" s="12"/>
      <c r="V893" s="13"/>
      <c r="W893" s="12"/>
      <c r="X893" s="12"/>
      <c r="Y893" s="12"/>
    </row>
    <row r="894" customFormat="false" ht="15" hidden="false" customHeight="false" outlineLevel="0" collapsed="false">
      <c r="A894" s="11" t="s">
        <v>978</v>
      </c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3"/>
      <c r="R894" s="12"/>
      <c r="S894" s="13"/>
      <c r="T894" s="14"/>
      <c r="U894" s="12"/>
      <c r="V894" s="13"/>
      <c r="W894" s="12"/>
      <c r="X894" s="12"/>
      <c r="Y894" s="12"/>
    </row>
    <row r="895" customFormat="false" ht="15" hidden="false" customHeight="false" outlineLevel="0" collapsed="false">
      <c r="A895" s="11" t="s">
        <v>979</v>
      </c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3"/>
      <c r="R895" s="12"/>
      <c r="S895" s="13"/>
      <c r="T895" s="14"/>
      <c r="U895" s="12"/>
      <c r="V895" s="13"/>
      <c r="W895" s="12"/>
      <c r="X895" s="12"/>
      <c r="Y895" s="12"/>
    </row>
    <row r="896" customFormat="false" ht="15" hidden="false" customHeight="false" outlineLevel="0" collapsed="false">
      <c r="A896" s="11" t="s">
        <v>980</v>
      </c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3"/>
      <c r="R896" s="12"/>
      <c r="S896" s="13"/>
      <c r="T896" s="14"/>
      <c r="U896" s="12"/>
      <c r="V896" s="13"/>
      <c r="W896" s="12"/>
      <c r="X896" s="12"/>
      <c r="Y896" s="12"/>
    </row>
    <row r="897" customFormat="false" ht="15" hidden="false" customHeight="false" outlineLevel="0" collapsed="false">
      <c r="A897" s="11" t="s">
        <v>981</v>
      </c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3"/>
      <c r="R897" s="12"/>
      <c r="S897" s="13"/>
      <c r="T897" s="14"/>
      <c r="U897" s="12"/>
      <c r="V897" s="13"/>
      <c r="W897" s="12"/>
      <c r="X897" s="12"/>
      <c r="Y897" s="12"/>
    </row>
    <row r="898" customFormat="false" ht="15" hidden="false" customHeight="false" outlineLevel="0" collapsed="false">
      <c r="A898" s="11" t="s">
        <v>982</v>
      </c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3"/>
      <c r="R898" s="12"/>
      <c r="S898" s="13"/>
      <c r="T898" s="14"/>
      <c r="U898" s="12"/>
      <c r="V898" s="13"/>
      <c r="W898" s="12"/>
      <c r="X898" s="12"/>
      <c r="Y898" s="12"/>
    </row>
    <row r="899" customFormat="false" ht="15" hidden="false" customHeight="false" outlineLevel="0" collapsed="false">
      <c r="A899" s="11" t="s">
        <v>983</v>
      </c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3"/>
      <c r="R899" s="12"/>
      <c r="S899" s="13"/>
      <c r="T899" s="14"/>
      <c r="U899" s="12"/>
      <c r="V899" s="13"/>
      <c r="W899" s="12"/>
      <c r="X899" s="12"/>
      <c r="Y899" s="12"/>
    </row>
    <row r="900" customFormat="false" ht="15" hidden="false" customHeight="false" outlineLevel="0" collapsed="false">
      <c r="A900" s="11" t="s">
        <v>984</v>
      </c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3"/>
      <c r="R900" s="12"/>
      <c r="S900" s="13"/>
      <c r="T900" s="14"/>
      <c r="U900" s="12"/>
      <c r="V900" s="13"/>
      <c r="W900" s="12"/>
      <c r="X900" s="12"/>
      <c r="Y900" s="12"/>
    </row>
    <row r="901" customFormat="false" ht="15" hidden="false" customHeight="false" outlineLevel="0" collapsed="false">
      <c r="A901" s="11" t="s">
        <v>985</v>
      </c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3"/>
      <c r="R901" s="12"/>
      <c r="S901" s="13"/>
      <c r="T901" s="14"/>
      <c r="U901" s="12"/>
      <c r="V901" s="13"/>
      <c r="W901" s="12"/>
      <c r="X901" s="12"/>
      <c r="Y901" s="12"/>
    </row>
    <row r="902" customFormat="false" ht="15" hidden="false" customHeight="false" outlineLevel="0" collapsed="false">
      <c r="A902" s="11" t="s">
        <v>986</v>
      </c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3"/>
      <c r="R902" s="12"/>
      <c r="S902" s="13"/>
      <c r="T902" s="14"/>
      <c r="U902" s="12"/>
      <c r="V902" s="13"/>
      <c r="W902" s="12"/>
      <c r="X902" s="12"/>
      <c r="Y902" s="12"/>
    </row>
    <row r="903" customFormat="false" ht="15" hidden="false" customHeight="false" outlineLevel="0" collapsed="false">
      <c r="A903" s="11" t="s">
        <v>987</v>
      </c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3"/>
      <c r="R903" s="12"/>
      <c r="S903" s="13"/>
      <c r="T903" s="14"/>
      <c r="U903" s="12"/>
      <c r="V903" s="13"/>
      <c r="W903" s="12"/>
      <c r="X903" s="12"/>
      <c r="Y903" s="12"/>
    </row>
    <row r="904" customFormat="false" ht="15" hidden="false" customHeight="false" outlineLevel="0" collapsed="false">
      <c r="A904" s="11" t="s">
        <v>988</v>
      </c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3"/>
      <c r="R904" s="12"/>
      <c r="S904" s="13"/>
      <c r="T904" s="14"/>
      <c r="U904" s="12"/>
      <c r="V904" s="13"/>
      <c r="W904" s="12"/>
      <c r="X904" s="12"/>
      <c r="Y904" s="12"/>
    </row>
    <row r="905" customFormat="false" ht="15" hidden="false" customHeight="false" outlineLevel="0" collapsed="false">
      <c r="A905" s="11" t="s">
        <v>989</v>
      </c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3"/>
      <c r="R905" s="12"/>
      <c r="S905" s="13"/>
      <c r="T905" s="14"/>
      <c r="U905" s="12"/>
      <c r="V905" s="13"/>
      <c r="W905" s="12"/>
      <c r="X905" s="12"/>
      <c r="Y905" s="12"/>
    </row>
    <row r="906" customFormat="false" ht="15" hidden="false" customHeight="false" outlineLevel="0" collapsed="false">
      <c r="A906" s="11" t="s">
        <v>990</v>
      </c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3"/>
      <c r="R906" s="12"/>
      <c r="S906" s="13"/>
      <c r="T906" s="14"/>
      <c r="U906" s="12"/>
      <c r="V906" s="13"/>
      <c r="W906" s="12"/>
      <c r="X906" s="12"/>
      <c r="Y906" s="12"/>
    </row>
    <row r="907" customFormat="false" ht="15" hidden="false" customHeight="false" outlineLevel="0" collapsed="false">
      <c r="A907" s="11" t="s">
        <v>991</v>
      </c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3"/>
      <c r="R907" s="12"/>
      <c r="S907" s="13"/>
      <c r="T907" s="14"/>
      <c r="U907" s="12"/>
      <c r="V907" s="13"/>
      <c r="W907" s="12"/>
      <c r="X907" s="12"/>
      <c r="Y907" s="12"/>
    </row>
    <row r="908" customFormat="false" ht="15" hidden="false" customHeight="false" outlineLevel="0" collapsed="false">
      <c r="A908" s="11" t="s">
        <v>992</v>
      </c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3"/>
      <c r="R908" s="12"/>
      <c r="S908" s="13"/>
      <c r="T908" s="14"/>
      <c r="U908" s="12"/>
      <c r="V908" s="13"/>
      <c r="W908" s="12"/>
      <c r="X908" s="12"/>
      <c r="Y908" s="12"/>
    </row>
    <row r="909" customFormat="false" ht="15" hidden="false" customHeight="false" outlineLevel="0" collapsed="false">
      <c r="A909" s="11" t="s">
        <v>993</v>
      </c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3"/>
      <c r="R909" s="12"/>
      <c r="S909" s="13"/>
      <c r="T909" s="14"/>
      <c r="U909" s="12"/>
      <c r="V909" s="13"/>
      <c r="W909" s="12"/>
      <c r="X909" s="12"/>
      <c r="Y909" s="12"/>
    </row>
    <row r="910" customFormat="false" ht="15" hidden="false" customHeight="false" outlineLevel="0" collapsed="false">
      <c r="A910" s="11" t="s">
        <v>994</v>
      </c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3"/>
      <c r="R910" s="12"/>
      <c r="S910" s="13"/>
      <c r="T910" s="14"/>
      <c r="U910" s="12"/>
      <c r="V910" s="13"/>
      <c r="W910" s="12"/>
      <c r="X910" s="12"/>
      <c r="Y910" s="12"/>
    </row>
    <row r="911" customFormat="false" ht="15" hidden="false" customHeight="false" outlineLevel="0" collapsed="false">
      <c r="A911" s="11" t="s">
        <v>995</v>
      </c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3"/>
      <c r="R911" s="12"/>
      <c r="S911" s="13"/>
      <c r="T911" s="14"/>
      <c r="U911" s="12"/>
      <c r="V911" s="13"/>
      <c r="W911" s="12"/>
      <c r="X911" s="12"/>
      <c r="Y911" s="12"/>
    </row>
    <row r="912" customFormat="false" ht="15" hidden="false" customHeight="false" outlineLevel="0" collapsed="false">
      <c r="A912" s="11" t="s">
        <v>996</v>
      </c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3"/>
      <c r="R912" s="12"/>
      <c r="S912" s="13"/>
      <c r="T912" s="14"/>
      <c r="U912" s="12"/>
      <c r="V912" s="13"/>
      <c r="W912" s="12"/>
      <c r="X912" s="12"/>
      <c r="Y912" s="12"/>
    </row>
    <row r="913" customFormat="false" ht="15" hidden="false" customHeight="false" outlineLevel="0" collapsed="false">
      <c r="A913" s="11" t="s">
        <v>997</v>
      </c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3"/>
      <c r="R913" s="12"/>
      <c r="S913" s="13"/>
      <c r="T913" s="14"/>
      <c r="U913" s="12"/>
      <c r="V913" s="13"/>
      <c r="W913" s="12"/>
      <c r="X913" s="12"/>
      <c r="Y913" s="12"/>
    </row>
    <row r="914" customFormat="false" ht="15" hidden="false" customHeight="false" outlineLevel="0" collapsed="false">
      <c r="A914" s="11" t="s">
        <v>998</v>
      </c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3"/>
      <c r="R914" s="12"/>
      <c r="S914" s="13"/>
      <c r="T914" s="14"/>
      <c r="U914" s="12"/>
      <c r="V914" s="13"/>
      <c r="W914" s="12"/>
      <c r="X914" s="12"/>
      <c r="Y914" s="12"/>
    </row>
    <row r="915" customFormat="false" ht="15" hidden="false" customHeight="false" outlineLevel="0" collapsed="false">
      <c r="A915" s="11" t="s">
        <v>999</v>
      </c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3"/>
      <c r="R915" s="12"/>
      <c r="S915" s="13"/>
      <c r="T915" s="14"/>
      <c r="U915" s="12"/>
      <c r="V915" s="13"/>
      <c r="W915" s="12"/>
      <c r="X915" s="12"/>
      <c r="Y915" s="12"/>
    </row>
    <row r="916" customFormat="false" ht="15" hidden="false" customHeight="false" outlineLevel="0" collapsed="false">
      <c r="A916" s="11" t="s">
        <v>1000</v>
      </c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3"/>
      <c r="R916" s="12"/>
      <c r="S916" s="13"/>
      <c r="T916" s="14"/>
      <c r="U916" s="12"/>
      <c r="V916" s="13"/>
      <c r="W916" s="12"/>
      <c r="X916" s="12"/>
      <c r="Y916" s="12"/>
    </row>
    <row r="917" customFormat="false" ht="15" hidden="false" customHeight="false" outlineLevel="0" collapsed="false">
      <c r="A917" s="11" t="s">
        <v>1001</v>
      </c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3"/>
      <c r="R917" s="12"/>
      <c r="S917" s="13"/>
      <c r="T917" s="14"/>
      <c r="U917" s="12"/>
      <c r="V917" s="13"/>
      <c r="W917" s="12"/>
      <c r="X917" s="12"/>
      <c r="Y917" s="12"/>
    </row>
    <row r="918" customFormat="false" ht="15" hidden="false" customHeight="false" outlineLevel="0" collapsed="false">
      <c r="A918" s="11" t="s">
        <v>1002</v>
      </c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3"/>
      <c r="R918" s="12"/>
      <c r="S918" s="13"/>
      <c r="T918" s="14"/>
      <c r="U918" s="12"/>
      <c r="V918" s="13"/>
      <c r="W918" s="12"/>
      <c r="X918" s="12"/>
      <c r="Y918" s="12"/>
    </row>
    <row r="919" customFormat="false" ht="15" hidden="false" customHeight="false" outlineLevel="0" collapsed="false">
      <c r="A919" s="11" t="s">
        <v>1003</v>
      </c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3"/>
      <c r="R919" s="12"/>
      <c r="S919" s="13"/>
      <c r="T919" s="14"/>
      <c r="U919" s="12"/>
      <c r="V919" s="13"/>
      <c r="W919" s="12"/>
      <c r="X919" s="12"/>
      <c r="Y919" s="12"/>
    </row>
    <row r="920" customFormat="false" ht="15" hidden="false" customHeight="false" outlineLevel="0" collapsed="false">
      <c r="A920" s="11" t="s">
        <v>1004</v>
      </c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3"/>
      <c r="R920" s="12"/>
      <c r="S920" s="13"/>
      <c r="T920" s="14"/>
      <c r="U920" s="12"/>
      <c r="V920" s="13"/>
      <c r="W920" s="12"/>
      <c r="X920" s="12"/>
      <c r="Y920" s="12"/>
    </row>
    <row r="921" customFormat="false" ht="15" hidden="false" customHeight="false" outlineLevel="0" collapsed="false">
      <c r="A921" s="11" t="s">
        <v>1005</v>
      </c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3"/>
      <c r="R921" s="12"/>
      <c r="S921" s="13"/>
      <c r="T921" s="14"/>
      <c r="U921" s="12"/>
      <c r="V921" s="13"/>
      <c r="W921" s="12"/>
      <c r="X921" s="12"/>
      <c r="Y921" s="12"/>
    </row>
    <row r="922" customFormat="false" ht="15" hidden="false" customHeight="false" outlineLevel="0" collapsed="false">
      <c r="A922" s="11" t="s">
        <v>1006</v>
      </c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3"/>
      <c r="R922" s="12"/>
      <c r="S922" s="13"/>
      <c r="T922" s="14"/>
      <c r="U922" s="12"/>
      <c r="V922" s="13"/>
      <c r="W922" s="12"/>
      <c r="X922" s="12"/>
      <c r="Y922" s="12"/>
    </row>
    <row r="923" customFormat="false" ht="15" hidden="false" customHeight="false" outlineLevel="0" collapsed="false">
      <c r="A923" s="11" t="s">
        <v>1007</v>
      </c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3"/>
      <c r="R923" s="12"/>
      <c r="S923" s="13"/>
      <c r="T923" s="14"/>
      <c r="U923" s="12"/>
      <c r="V923" s="13"/>
      <c r="W923" s="12"/>
      <c r="X923" s="12"/>
      <c r="Y923" s="12"/>
    </row>
    <row r="924" customFormat="false" ht="15" hidden="false" customHeight="false" outlineLevel="0" collapsed="false">
      <c r="A924" s="11" t="s">
        <v>1008</v>
      </c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3"/>
      <c r="R924" s="12"/>
      <c r="S924" s="13"/>
      <c r="T924" s="14"/>
      <c r="U924" s="12"/>
      <c r="V924" s="13"/>
      <c r="W924" s="12"/>
      <c r="X924" s="12"/>
      <c r="Y924" s="12"/>
    </row>
    <row r="925" customFormat="false" ht="15" hidden="false" customHeight="false" outlineLevel="0" collapsed="false">
      <c r="A925" s="11" t="s">
        <v>1009</v>
      </c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3"/>
      <c r="R925" s="12"/>
      <c r="S925" s="13"/>
      <c r="T925" s="14"/>
      <c r="U925" s="12"/>
      <c r="V925" s="13"/>
      <c r="W925" s="12"/>
      <c r="X925" s="12"/>
      <c r="Y925" s="12"/>
    </row>
    <row r="926" customFormat="false" ht="15" hidden="false" customHeight="false" outlineLevel="0" collapsed="false">
      <c r="A926" s="11" t="s">
        <v>1010</v>
      </c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3"/>
      <c r="R926" s="12"/>
      <c r="S926" s="13"/>
      <c r="T926" s="14"/>
      <c r="U926" s="12"/>
      <c r="V926" s="13"/>
      <c r="W926" s="12"/>
      <c r="X926" s="12"/>
      <c r="Y926" s="12"/>
    </row>
    <row r="927" customFormat="false" ht="15" hidden="false" customHeight="false" outlineLevel="0" collapsed="false">
      <c r="A927" s="11" t="s">
        <v>1011</v>
      </c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3"/>
      <c r="R927" s="12"/>
      <c r="S927" s="13"/>
      <c r="T927" s="14"/>
      <c r="U927" s="12"/>
      <c r="V927" s="13"/>
      <c r="W927" s="12"/>
      <c r="X927" s="12"/>
      <c r="Y927" s="12"/>
    </row>
    <row r="928" customFormat="false" ht="15" hidden="false" customHeight="false" outlineLevel="0" collapsed="false">
      <c r="A928" s="11" t="s">
        <v>1012</v>
      </c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3"/>
      <c r="R928" s="12"/>
      <c r="S928" s="13"/>
      <c r="T928" s="14"/>
      <c r="U928" s="12"/>
      <c r="V928" s="13"/>
      <c r="W928" s="12"/>
      <c r="X928" s="12"/>
      <c r="Y928" s="12"/>
    </row>
    <row r="929" customFormat="false" ht="15" hidden="false" customHeight="false" outlineLevel="0" collapsed="false">
      <c r="A929" s="11" t="s">
        <v>1013</v>
      </c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3"/>
      <c r="R929" s="12"/>
      <c r="S929" s="13"/>
      <c r="T929" s="14"/>
      <c r="U929" s="12"/>
      <c r="V929" s="13"/>
      <c r="W929" s="12"/>
      <c r="X929" s="12"/>
      <c r="Y929" s="12"/>
    </row>
    <row r="930" customFormat="false" ht="15" hidden="false" customHeight="false" outlineLevel="0" collapsed="false">
      <c r="A930" s="11" t="s">
        <v>1014</v>
      </c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3"/>
      <c r="R930" s="12"/>
      <c r="S930" s="13"/>
      <c r="T930" s="14"/>
      <c r="U930" s="12"/>
      <c r="V930" s="13"/>
      <c r="W930" s="12"/>
      <c r="X930" s="12"/>
      <c r="Y930" s="12"/>
    </row>
    <row r="931" customFormat="false" ht="15" hidden="false" customHeight="false" outlineLevel="0" collapsed="false">
      <c r="A931" s="11" t="s">
        <v>1015</v>
      </c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3"/>
      <c r="R931" s="12"/>
      <c r="S931" s="13"/>
      <c r="T931" s="14"/>
      <c r="U931" s="12"/>
      <c r="V931" s="13"/>
      <c r="W931" s="12"/>
      <c r="X931" s="12"/>
      <c r="Y931" s="12"/>
    </row>
    <row r="932" customFormat="false" ht="15" hidden="false" customHeight="false" outlineLevel="0" collapsed="false">
      <c r="A932" s="11" t="s">
        <v>1016</v>
      </c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3"/>
      <c r="R932" s="12"/>
      <c r="S932" s="13"/>
      <c r="T932" s="14"/>
      <c r="U932" s="12"/>
      <c r="V932" s="13"/>
      <c r="W932" s="12"/>
      <c r="X932" s="12"/>
      <c r="Y932" s="12"/>
    </row>
    <row r="933" customFormat="false" ht="15" hidden="false" customHeight="false" outlineLevel="0" collapsed="false">
      <c r="A933" s="11" t="s">
        <v>1017</v>
      </c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3"/>
      <c r="R933" s="12"/>
      <c r="S933" s="13"/>
      <c r="T933" s="14"/>
      <c r="U933" s="12"/>
      <c r="V933" s="13"/>
      <c r="W933" s="12"/>
      <c r="X933" s="12"/>
      <c r="Y933" s="12"/>
    </row>
    <row r="934" customFormat="false" ht="15" hidden="false" customHeight="false" outlineLevel="0" collapsed="false">
      <c r="A934" s="11" t="s">
        <v>1018</v>
      </c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3"/>
      <c r="R934" s="12"/>
      <c r="S934" s="13"/>
      <c r="T934" s="14"/>
      <c r="U934" s="12"/>
      <c r="V934" s="13"/>
      <c r="W934" s="12"/>
      <c r="X934" s="12"/>
      <c r="Y934" s="12"/>
    </row>
    <row r="935" customFormat="false" ht="15" hidden="false" customHeight="false" outlineLevel="0" collapsed="false">
      <c r="A935" s="11" t="s">
        <v>1019</v>
      </c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3"/>
      <c r="R935" s="12"/>
      <c r="S935" s="13"/>
      <c r="T935" s="14"/>
      <c r="U935" s="12"/>
      <c r="V935" s="13"/>
      <c r="W935" s="12"/>
      <c r="X935" s="12"/>
      <c r="Y935" s="12"/>
    </row>
    <row r="936" customFormat="false" ht="15" hidden="false" customHeight="false" outlineLevel="0" collapsed="false">
      <c r="A936" s="11" t="s">
        <v>1020</v>
      </c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3"/>
      <c r="R936" s="12"/>
      <c r="S936" s="13"/>
      <c r="T936" s="14"/>
      <c r="U936" s="12"/>
      <c r="V936" s="13"/>
      <c r="W936" s="12"/>
      <c r="X936" s="12"/>
      <c r="Y936" s="12"/>
    </row>
    <row r="937" customFormat="false" ht="15" hidden="false" customHeight="false" outlineLevel="0" collapsed="false">
      <c r="A937" s="11" t="s">
        <v>1021</v>
      </c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3"/>
      <c r="R937" s="12"/>
      <c r="S937" s="13"/>
      <c r="T937" s="14"/>
      <c r="U937" s="12"/>
      <c r="V937" s="13"/>
      <c r="W937" s="12"/>
      <c r="X937" s="12"/>
      <c r="Y937" s="12"/>
    </row>
    <row r="938" customFormat="false" ht="15" hidden="false" customHeight="false" outlineLevel="0" collapsed="false">
      <c r="A938" s="11" t="s">
        <v>1022</v>
      </c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3"/>
      <c r="R938" s="12"/>
      <c r="S938" s="13"/>
      <c r="T938" s="14"/>
      <c r="U938" s="12"/>
      <c r="V938" s="13"/>
      <c r="W938" s="12"/>
      <c r="X938" s="12"/>
      <c r="Y938" s="12"/>
    </row>
    <row r="939" customFormat="false" ht="15" hidden="false" customHeight="false" outlineLevel="0" collapsed="false">
      <c r="A939" s="11" t="s">
        <v>1023</v>
      </c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3"/>
      <c r="R939" s="12"/>
      <c r="S939" s="13"/>
      <c r="T939" s="14"/>
      <c r="U939" s="12"/>
      <c r="V939" s="13"/>
      <c r="W939" s="12"/>
      <c r="X939" s="12"/>
      <c r="Y939" s="12"/>
    </row>
    <row r="940" customFormat="false" ht="15" hidden="false" customHeight="false" outlineLevel="0" collapsed="false">
      <c r="A940" s="11" t="s">
        <v>1024</v>
      </c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3"/>
      <c r="R940" s="12"/>
      <c r="S940" s="13"/>
      <c r="T940" s="14"/>
      <c r="U940" s="12"/>
      <c r="V940" s="13"/>
      <c r="W940" s="12"/>
      <c r="X940" s="12"/>
      <c r="Y940" s="12"/>
    </row>
    <row r="941" customFormat="false" ht="15" hidden="false" customHeight="false" outlineLevel="0" collapsed="false">
      <c r="A941" s="11" t="s">
        <v>1025</v>
      </c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3"/>
      <c r="R941" s="12"/>
      <c r="S941" s="13"/>
      <c r="T941" s="14"/>
      <c r="U941" s="12"/>
      <c r="V941" s="13"/>
      <c r="W941" s="12"/>
      <c r="X941" s="12"/>
      <c r="Y941" s="12"/>
    </row>
    <row r="942" customFormat="false" ht="15" hidden="false" customHeight="false" outlineLevel="0" collapsed="false">
      <c r="A942" s="11" t="s">
        <v>1026</v>
      </c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3"/>
      <c r="R942" s="12"/>
      <c r="S942" s="13"/>
      <c r="T942" s="14"/>
      <c r="U942" s="12"/>
      <c r="V942" s="13"/>
      <c r="W942" s="12"/>
      <c r="X942" s="12"/>
      <c r="Y942" s="12"/>
    </row>
    <row r="943" customFormat="false" ht="15" hidden="false" customHeight="false" outlineLevel="0" collapsed="false">
      <c r="A943" s="11" t="s">
        <v>1027</v>
      </c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3"/>
      <c r="R943" s="12"/>
      <c r="S943" s="13"/>
      <c r="T943" s="14"/>
      <c r="U943" s="12"/>
      <c r="V943" s="13"/>
      <c r="W943" s="12"/>
      <c r="X943" s="12"/>
      <c r="Y943" s="12"/>
    </row>
    <row r="944" customFormat="false" ht="15" hidden="false" customHeight="false" outlineLevel="0" collapsed="false">
      <c r="A944" s="11" t="s">
        <v>1028</v>
      </c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3"/>
      <c r="R944" s="12"/>
      <c r="S944" s="13"/>
      <c r="T944" s="14"/>
      <c r="U944" s="12"/>
      <c r="V944" s="13"/>
      <c r="W944" s="12"/>
      <c r="X944" s="12"/>
      <c r="Y944" s="12"/>
    </row>
    <row r="945" customFormat="false" ht="15" hidden="false" customHeight="false" outlineLevel="0" collapsed="false">
      <c r="A945" s="11" t="s">
        <v>1029</v>
      </c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3"/>
      <c r="R945" s="12"/>
      <c r="S945" s="13"/>
      <c r="T945" s="14"/>
      <c r="U945" s="12"/>
      <c r="V945" s="13"/>
      <c r="W945" s="12"/>
      <c r="X945" s="12"/>
      <c r="Y945" s="12"/>
    </row>
    <row r="946" customFormat="false" ht="15" hidden="false" customHeight="false" outlineLevel="0" collapsed="false">
      <c r="A946" s="11" t="s">
        <v>1030</v>
      </c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3"/>
      <c r="R946" s="12"/>
      <c r="S946" s="13"/>
      <c r="T946" s="14"/>
      <c r="U946" s="12"/>
      <c r="V946" s="13"/>
      <c r="W946" s="12"/>
      <c r="X946" s="12"/>
      <c r="Y946" s="12"/>
    </row>
    <row r="947" customFormat="false" ht="15" hidden="false" customHeight="false" outlineLevel="0" collapsed="false">
      <c r="A947" s="11" t="s">
        <v>1031</v>
      </c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3"/>
      <c r="R947" s="12"/>
      <c r="S947" s="13"/>
      <c r="T947" s="14"/>
      <c r="U947" s="12"/>
      <c r="V947" s="13"/>
      <c r="W947" s="12"/>
      <c r="X947" s="12"/>
      <c r="Y947" s="12"/>
    </row>
    <row r="948" customFormat="false" ht="15" hidden="false" customHeight="false" outlineLevel="0" collapsed="false">
      <c r="A948" s="11" t="s">
        <v>1032</v>
      </c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3"/>
      <c r="R948" s="12"/>
      <c r="S948" s="13"/>
      <c r="T948" s="14"/>
      <c r="U948" s="12"/>
      <c r="V948" s="13"/>
      <c r="W948" s="12"/>
      <c r="X948" s="12"/>
      <c r="Y948" s="12"/>
    </row>
    <row r="949" customFormat="false" ht="15" hidden="false" customHeight="false" outlineLevel="0" collapsed="false">
      <c r="A949" s="11" t="s">
        <v>1033</v>
      </c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3"/>
      <c r="R949" s="12"/>
      <c r="S949" s="13"/>
      <c r="T949" s="14"/>
      <c r="U949" s="12"/>
      <c r="V949" s="13"/>
      <c r="W949" s="12"/>
      <c r="X949" s="12"/>
      <c r="Y949" s="12"/>
    </row>
    <row r="950" customFormat="false" ht="15" hidden="false" customHeight="false" outlineLevel="0" collapsed="false">
      <c r="A950" s="11" t="s">
        <v>1034</v>
      </c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3"/>
      <c r="R950" s="12"/>
      <c r="S950" s="13"/>
      <c r="T950" s="14"/>
      <c r="U950" s="12"/>
      <c r="V950" s="13"/>
      <c r="W950" s="12"/>
      <c r="X950" s="12"/>
      <c r="Y950" s="12"/>
    </row>
    <row r="951" customFormat="false" ht="15" hidden="false" customHeight="false" outlineLevel="0" collapsed="false">
      <c r="A951" s="11" t="s">
        <v>1035</v>
      </c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3"/>
      <c r="R951" s="12"/>
      <c r="S951" s="13"/>
      <c r="T951" s="14"/>
      <c r="U951" s="12"/>
      <c r="V951" s="13"/>
      <c r="W951" s="12"/>
      <c r="X951" s="12"/>
      <c r="Y951" s="12"/>
    </row>
    <row r="952" customFormat="false" ht="15" hidden="false" customHeight="false" outlineLevel="0" collapsed="false">
      <c r="A952" s="11" t="s">
        <v>1036</v>
      </c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3"/>
      <c r="R952" s="12"/>
      <c r="S952" s="13"/>
      <c r="T952" s="14"/>
      <c r="U952" s="12"/>
      <c r="V952" s="13"/>
      <c r="W952" s="12"/>
      <c r="X952" s="12"/>
      <c r="Y952" s="12"/>
    </row>
    <row r="953" customFormat="false" ht="15" hidden="false" customHeight="false" outlineLevel="0" collapsed="false">
      <c r="A953" s="11" t="s">
        <v>1037</v>
      </c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3"/>
      <c r="R953" s="12"/>
      <c r="S953" s="13"/>
      <c r="T953" s="14"/>
      <c r="U953" s="12"/>
      <c r="V953" s="13"/>
      <c r="W953" s="12"/>
      <c r="X953" s="12"/>
      <c r="Y953" s="12"/>
    </row>
    <row r="954" customFormat="false" ht="15" hidden="false" customHeight="false" outlineLevel="0" collapsed="false">
      <c r="A954" s="11" t="s">
        <v>1038</v>
      </c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3"/>
      <c r="R954" s="12"/>
      <c r="S954" s="13"/>
      <c r="T954" s="14"/>
      <c r="U954" s="12"/>
      <c r="V954" s="13"/>
      <c r="W954" s="12"/>
      <c r="X954" s="12"/>
      <c r="Y954" s="12"/>
    </row>
    <row r="955" customFormat="false" ht="15" hidden="false" customHeight="false" outlineLevel="0" collapsed="false">
      <c r="A955" s="11" t="s">
        <v>1039</v>
      </c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3"/>
      <c r="R955" s="12"/>
      <c r="S955" s="13"/>
      <c r="T955" s="14"/>
      <c r="U955" s="12"/>
      <c r="V955" s="13"/>
      <c r="W955" s="12"/>
      <c r="X955" s="12"/>
      <c r="Y955" s="12"/>
    </row>
    <row r="956" customFormat="false" ht="15" hidden="false" customHeight="false" outlineLevel="0" collapsed="false">
      <c r="A956" s="11" t="s">
        <v>1040</v>
      </c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3"/>
      <c r="R956" s="12"/>
      <c r="S956" s="13"/>
      <c r="T956" s="14"/>
      <c r="U956" s="12"/>
      <c r="V956" s="13"/>
      <c r="W956" s="12"/>
      <c r="X956" s="12"/>
      <c r="Y956" s="12"/>
    </row>
    <row r="957" customFormat="false" ht="15" hidden="false" customHeight="false" outlineLevel="0" collapsed="false">
      <c r="A957" s="11" t="s">
        <v>1041</v>
      </c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3"/>
      <c r="R957" s="12"/>
      <c r="S957" s="13"/>
      <c r="T957" s="14"/>
      <c r="U957" s="12"/>
      <c r="V957" s="13"/>
      <c r="W957" s="12"/>
      <c r="X957" s="12"/>
      <c r="Y957" s="12"/>
    </row>
    <row r="958" customFormat="false" ht="15" hidden="false" customHeight="false" outlineLevel="0" collapsed="false">
      <c r="A958" s="11" t="s">
        <v>1042</v>
      </c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3"/>
      <c r="R958" s="12"/>
      <c r="S958" s="13"/>
      <c r="T958" s="14"/>
      <c r="U958" s="12"/>
      <c r="V958" s="13"/>
      <c r="W958" s="12"/>
      <c r="X958" s="12"/>
      <c r="Y958" s="12"/>
    </row>
    <row r="959" customFormat="false" ht="15" hidden="false" customHeight="false" outlineLevel="0" collapsed="false">
      <c r="A959" s="11" t="s">
        <v>1043</v>
      </c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3"/>
      <c r="R959" s="12"/>
      <c r="S959" s="13"/>
      <c r="T959" s="14"/>
      <c r="U959" s="12"/>
      <c r="V959" s="13"/>
      <c r="W959" s="12"/>
      <c r="X959" s="12"/>
      <c r="Y959" s="12"/>
    </row>
    <row r="960" customFormat="false" ht="15" hidden="false" customHeight="false" outlineLevel="0" collapsed="false">
      <c r="A960" s="11" t="s">
        <v>1044</v>
      </c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3"/>
      <c r="R960" s="12"/>
      <c r="S960" s="13"/>
      <c r="T960" s="14"/>
      <c r="U960" s="12"/>
      <c r="V960" s="13"/>
      <c r="W960" s="12"/>
      <c r="X960" s="12"/>
      <c r="Y960" s="12"/>
    </row>
    <row r="961" customFormat="false" ht="15" hidden="false" customHeight="false" outlineLevel="0" collapsed="false">
      <c r="A961" s="11" t="s">
        <v>1045</v>
      </c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3"/>
      <c r="R961" s="12"/>
      <c r="S961" s="13"/>
      <c r="T961" s="14"/>
      <c r="U961" s="12"/>
      <c r="V961" s="13"/>
      <c r="W961" s="12"/>
      <c r="X961" s="12"/>
      <c r="Y961" s="12"/>
    </row>
    <row r="962" customFormat="false" ht="15" hidden="false" customHeight="false" outlineLevel="0" collapsed="false">
      <c r="A962" s="11" t="s">
        <v>1046</v>
      </c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3"/>
      <c r="R962" s="12"/>
      <c r="S962" s="13"/>
      <c r="T962" s="14"/>
      <c r="U962" s="12"/>
      <c r="V962" s="13"/>
      <c r="W962" s="12"/>
      <c r="X962" s="12"/>
      <c r="Y962" s="12"/>
    </row>
    <row r="963" customFormat="false" ht="15" hidden="false" customHeight="false" outlineLevel="0" collapsed="false">
      <c r="A963" s="11" t="s">
        <v>1047</v>
      </c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3"/>
      <c r="R963" s="12"/>
      <c r="S963" s="13"/>
      <c r="T963" s="14"/>
      <c r="U963" s="12"/>
      <c r="V963" s="13"/>
      <c r="W963" s="12"/>
      <c r="X963" s="12"/>
      <c r="Y963" s="12"/>
    </row>
    <row r="964" customFormat="false" ht="15" hidden="false" customHeight="false" outlineLevel="0" collapsed="false">
      <c r="A964" s="11" t="s">
        <v>1048</v>
      </c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3"/>
      <c r="R964" s="12"/>
      <c r="S964" s="13"/>
      <c r="T964" s="14"/>
      <c r="U964" s="12"/>
      <c r="V964" s="13"/>
      <c r="W964" s="12"/>
      <c r="X964" s="12"/>
      <c r="Y964" s="12"/>
    </row>
    <row r="965" customFormat="false" ht="15" hidden="false" customHeight="false" outlineLevel="0" collapsed="false">
      <c r="A965" s="11" t="s">
        <v>1049</v>
      </c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3"/>
      <c r="R965" s="12"/>
      <c r="S965" s="13"/>
      <c r="T965" s="14"/>
      <c r="U965" s="12"/>
      <c r="V965" s="13"/>
      <c r="W965" s="12"/>
      <c r="X965" s="12"/>
      <c r="Y965" s="12"/>
    </row>
    <row r="966" customFormat="false" ht="15" hidden="false" customHeight="false" outlineLevel="0" collapsed="false">
      <c r="A966" s="11" t="s">
        <v>1050</v>
      </c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3"/>
      <c r="R966" s="12"/>
      <c r="S966" s="13"/>
      <c r="T966" s="14"/>
      <c r="U966" s="12"/>
      <c r="V966" s="13"/>
      <c r="W966" s="12"/>
      <c r="X966" s="12"/>
      <c r="Y966" s="12"/>
    </row>
    <row r="967" customFormat="false" ht="15" hidden="false" customHeight="false" outlineLevel="0" collapsed="false">
      <c r="A967" s="11" t="s">
        <v>1051</v>
      </c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3"/>
      <c r="R967" s="12"/>
      <c r="S967" s="13"/>
      <c r="T967" s="14"/>
      <c r="U967" s="12"/>
      <c r="V967" s="13"/>
      <c r="W967" s="12"/>
      <c r="X967" s="12"/>
      <c r="Y967" s="12"/>
    </row>
    <row r="968" customFormat="false" ht="15" hidden="false" customHeight="false" outlineLevel="0" collapsed="false">
      <c r="A968" s="11" t="s">
        <v>1052</v>
      </c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3"/>
      <c r="R968" s="12"/>
      <c r="S968" s="13"/>
      <c r="T968" s="14"/>
      <c r="U968" s="12"/>
      <c r="V968" s="13"/>
      <c r="W968" s="12"/>
      <c r="X968" s="12"/>
      <c r="Y968" s="12"/>
    </row>
    <row r="969" customFormat="false" ht="15" hidden="false" customHeight="false" outlineLevel="0" collapsed="false">
      <c r="A969" s="11" t="s">
        <v>1053</v>
      </c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3"/>
      <c r="R969" s="12"/>
      <c r="S969" s="13"/>
      <c r="T969" s="14"/>
      <c r="U969" s="12"/>
      <c r="V969" s="13"/>
      <c r="W969" s="12"/>
      <c r="X969" s="12"/>
      <c r="Y969" s="12"/>
    </row>
    <row r="970" customFormat="false" ht="15" hidden="false" customHeight="false" outlineLevel="0" collapsed="false">
      <c r="A970" s="11" t="s">
        <v>1054</v>
      </c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3"/>
      <c r="R970" s="12"/>
      <c r="S970" s="13"/>
      <c r="T970" s="14"/>
      <c r="U970" s="12"/>
      <c r="V970" s="13"/>
      <c r="W970" s="12"/>
      <c r="X970" s="12"/>
      <c r="Y970" s="12"/>
    </row>
    <row r="971" customFormat="false" ht="15" hidden="false" customHeight="false" outlineLevel="0" collapsed="false">
      <c r="A971" s="11" t="s">
        <v>1055</v>
      </c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3"/>
      <c r="R971" s="12"/>
      <c r="S971" s="13"/>
      <c r="T971" s="14"/>
      <c r="U971" s="12"/>
      <c r="V971" s="13"/>
      <c r="W971" s="12"/>
      <c r="X971" s="12"/>
      <c r="Y971" s="12"/>
    </row>
    <row r="972" customFormat="false" ht="15" hidden="false" customHeight="false" outlineLevel="0" collapsed="false">
      <c r="A972" s="11" t="s">
        <v>1056</v>
      </c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3"/>
      <c r="R972" s="12"/>
      <c r="S972" s="13"/>
      <c r="T972" s="14"/>
      <c r="U972" s="12"/>
      <c r="V972" s="13"/>
      <c r="W972" s="12"/>
      <c r="X972" s="12"/>
      <c r="Y972" s="12"/>
    </row>
    <row r="973" customFormat="false" ht="15" hidden="false" customHeight="false" outlineLevel="0" collapsed="false">
      <c r="A973" s="11" t="s">
        <v>1057</v>
      </c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3"/>
      <c r="R973" s="12"/>
      <c r="S973" s="13"/>
      <c r="T973" s="14"/>
      <c r="U973" s="12"/>
      <c r="V973" s="13"/>
      <c r="W973" s="12"/>
      <c r="X973" s="12"/>
      <c r="Y973" s="12"/>
    </row>
    <row r="974" customFormat="false" ht="15" hidden="false" customHeight="false" outlineLevel="0" collapsed="false">
      <c r="A974" s="11" t="s">
        <v>1058</v>
      </c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3"/>
      <c r="R974" s="12"/>
      <c r="S974" s="13"/>
      <c r="T974" s="14"/>
      <c r="U974" s="12"/>
      <c r="V974" s="13"/>
      <c r="W974" s="12"/>
      <c r="X974" s="12"/>
      <c r="Y974" s="12"/>
    </row>
    <row r="975" customFormat="false" ht="15" hidden="false" customHeight="false" outlineLevel="0" collapsed="false">
      <c r="A975" s="11" t="s">
        <v>1059</v>
      </c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3"/>
      <c r="R975" s="12"/>
      <c r="S975" s="13"/>
      <c r="T975" s="14"/>
      <c r="U975" s="12"/>
      <c r="V975" s="13"/>
      <c r="W975" s="12"/>
      <c r="X975" s="12"/>
      <c r="Y975" s="12"/>
    </row>
    <row r="976" customFormat="false" ht="15" hidden="false" customHeight="false" outlineLevel="0" collapsed="false">
      <c r="A976" s="11" t="s">
        <v>1060</v>
      </c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3"/>
      <c r="R976" s="12"/>
      <c r="S976" s="13"/>
      <c r="T976" s="14"/>
      <c r="U976" s="12"/>
      <c r="V976" s="13"/>
      <c r="W976" s="12"/>
      <c r="X976" s="12"/>
      <c r="Y976" s="12"/>
    </row>
    <row r="977" customFormat="false" ht="15" hidden="false" customHeight="false" outlineLevel="0" collapsed="false">
      <c r="A977" s="11" t="s">
        <v>1061</v>
      </c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3"/>
      <c r="R977" s="12"/>
      <c r="S977" s="13"/>
      <c r="T977" s="14"/>
      <c r="U977" s="12"/>
      <c r="V977" s="13"/>
      <c r="W977" s="12"/>
      <c r="X977" s="12"/>
      <c r="Y977" s="12"/>
    </row>
    <row r="978" customFormat="false" ht="15" hidden="false" customHeight="false" outlineLevel="0" collapsed="false">
      <c r="A978" s="11" t="s">
        <v>1062</v>
      </c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3"/>
      <c r="R978" s="12"/>
      <c r="S978" s="13"/>
      <c r="T978" s="14"/>
      <c r="U978" s="12"/>
      <c r="V978" s="13"/>
      <c r="W978" s="12"/>
      <c r="X978" s="12"/>
      <c r="Y978" s="12"/>
    </row>
    <row r="979" customFormat="false" ht="15" hidden="false" customHeight="false" outlineLevel="0" collapsed="false">
      <c r="A979" s="11" t="s">
        <v>1063</v>
      </c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3"/>
      <c r="R979" s="12"/>
      <c r="S979" s="13"/>
      <c r="T979" s="14"/>
      <c r="U979" s="12"/>
      <c r="V979" s="13"/>
      <c r="W979" s="12"/>
      <c r="X979" s="12"/>
      <c r="Y979" s="12"/>
    </row>
    <row r="980" customFormat="false" ht="15" hidden="false" customHeight="false" outlineLevel="0" collapsed="false">
      <c r="A980" s="11" t="s">
        <v>1064</v>
      </c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3"/>
      <c r="R980" s="12"/>
      <c r="S980" s="13"/>
      <c r="T980" s="14"/>
      <c r="U980" s="12"/>
      <c r="V980" s="13"/>
      <c r="W980" s="12"/>
      <c r="X980" s="12"/>
      <c r="Y980" s="12"/>
    </row>
    <row r="981" customFormat="false" ht="15" hidden="false" customHeight="false" outlineLevel="0" collapsed="false">
      <c r="A981" s="11" t="s">
        <v>1065</v>
      </c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3"/>
      <c r="R981" s="12"/>
      <c r="S981" s="13"/>
      <c r="T981" s="14"/>
      <c r="U981" s="12"/>
      <c r="V981" s="13"/>
      <c r="W981" s="12"/>
      <c r="X981" s="12"/>
      <c r="Y981" s="12"/>
    </row>
    <row r="982" customFormat="false" ht="15" hidden="false" customHeight="false" outlineLevel="0" collapsed="false">
      <c r="A982" s="11" t="s">
        <v>1066</v>
      </c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3"/>
      <c r="R982" s="12"/>
      <c r="S982" s="13"/>
      <c r="T982" s="14"/>
      <c r="U982" s="12"/>
      <c r="V982" s="13"/>
      <c r="W982" s="12"/>
      <c r="X982" s="12"/>
      <c r="Y982" s="12"/>
    </row>
    <row r="983" customFormat="false" ht="15" hidden="false" customHeight="false" outlineLevel="0" collapsed="false">
      <c r="A983" s="11" t="s">
        <v>1067</v>
      </c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3"/>
      <c r="R983" s="12"/>
      <c r="S983" s="13"/>
      <c r="T983" s="14"/>
      <c r="U983" s="12"/>
      <c r="V983" s="13"/>
      <c r="W983" s="12"/>
      <c r="X983" s="12"/>
      <c r="Y983" s="12"/>
    </row>
    <row r="984" customFormat="false" ht="15" hidden="false" customHeight="false" outlineLevel="0" collapsed="false">
      <c r="A984" s="11" t="s">
        <v>1068</v>
      </c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3"/>
      <c r="R984" s="12"/>
      <c r="S984" s="13"/>
      <c r="T984" s="14"/>
      <c r="U984" s="12"/>
      <c r="V984" s="13"/>
      <c r="W984" s="12"/>
      <c r="X984" s="12"/>
      <c r="Y984" s="12"/>
    </row>
    <row r="985" customFormat="false" ht="15" hidden="false" customHeight="false" outlineLevel="0" collapsed="false">
      <c r="A985" s="11" t="s">
        <v>1069</v>
      </c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3"/>
      <c r="R985" s="12"/>
      <c r="S985" s="13"/>
      <c r="T985" s="14"/>
      <c r="U985" s="12"/>
      <c r="V985" s="13"/>
      <c r="W985" s="12"/>
      <c r="X985" s="12"/>
      <c r="Y985" s="12"/>
    </row>
    <row r="986" customFormat="false" ht="15" hidden="false" customHeight="false" outlineLevel="0" collapsed="false">
      <c r="A986" s="11" t="s">
        <v>1070</v>
      </c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3"/>
      <c r="R986" s="12"/>
      <c r="S986" s="13"/>
      <c r="T986" s="14"/>
      <c r="U986" s="12"/>
      <c r="V986" s="13"/>
      <c r="W986" s="12"/>
      <c r="X986" s="12"/>
      <c r="Y986" s="12"/>
    </row>
    <row r="987" customFormat="false" ht="15" hidden="false" customHeight="false" outlineLevel="0" collapsed="false">
      <c r="A987" s="11" t="s">
        <v>1071</v>
      </c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3"/>
      <c r="R987" s="12"/>
      <c r="S987" s="13"/>
      <c r="T987" s="14"/>
      <c r="U987" s="12"/>
      <c r="V987" s="13"/>
      <c r="W987" s="12"/>
      <c r="X987" s="12"/>
      <c r="Y987" s="12"/>
    </row>
    <row r="988" customFormat="false" ht="15" hidden="false" customHeight="false" outlineLevel="0" collapsed="false">
      <c r="A988" s="11" t="s">
        <v>1072</v>
      </c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3"/>
      <c r="R988" s="12"/>
      <c r="S988" s="13"/>
      <c r="T988" s="14"/>
      <c r="U988" s="12"/>
      <c r="V988" s="13"/>
      <c r="W988" s="12"/>
      <c r="X988" s="12"/>
      <c r="Y988" s="12"/>
    </row>
    <row r="989" customFormat="false" ht="15" hidden="false" customHeight="false" outlineLevel="0" collapsed="false">
      <c r="A989" s="11" t="s">
        <v>1073</v>
      </c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3"/>
      <c r="R989" s="12"/>
      <c r="S989" s="13"/>
      <c r="T989" s="14"/>
      <c r="U989" s="12"/>
      <c r="V989" s="13"/>
      <c r="W989" s="12"/>
      <c r="X989" s="12"/>
      <c r="Y989" s="12"/>
    </row>
    <row r="990" customFormat="false" ht="15" hidden="false" customHeight="false" outlineLevel="0" collapsed="false">
      <c r="A990" s="11" t="s">
        <v>1074</v>
      </c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3"/>
      <c r="R990" s="12"/>
      <c r="S990" s="13"/>
      <c r="T990" s="14"/>
      <c r="U990" s="12"/>
      <c r="V990" s="13"/>
      <c r="W990" s="12"/>
      <c r="X990" s="12"/>
      <c r="Y990" s="12"/>
    </row>
    <row r="991" customFormat="false" ht="15" hidden="false" customHeight="false" outlineLevel="0" collapsed="false">
      <c r="A991" s="11" t="s">
        <v>1075</v>
      </c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3"/>
      <c r="R991" s="12"/>
      <c r="S991" s="13"/>
      <c r="T991" s="14"/>
      <c r="U991" s="12"/>
      <c r="V991" s="13"/>
      <c r="W991" s="12"/>
      <c r="X991" s="12"/>
      <c r="Y991" s="12"/>
    </row>
    <row r="992" customFormat="false" ht="15" hidden="false" customHeight="false" outlineLevel="0" collapsed="false">
      <c r="A992" s="11" t="s">
        <v>1076</v>
      </c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3"/>
      <c r="R992" s="12"/>
      <c r="S992" s="13"/>
      <c r="T992" s="14"/>
      <c r="U992" s="12"/>
      <c r="V992" s="13"/>
      <c r="W992" s="12"/>
      <c r="X992" s="12"/>
      <c r="Y992" s="12"/>
    </row>
    <row r="993" customFormat="false" ht="15" hidden="false" customHeight="false" outlineLevel="0" collapsed="false">
      <c r="A993" s="11" t="s">
        <v>1077</v>
      </c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3"/>
      <c r="R993" s="12"/>
      <c r="S993" s="13"/>
      <c r="T993" s="14"/>
      <c r="U993" s="12"/>
      <c r="V993" s="13"/>
      <c r="W993" s="12"/>
      <c r="X993" s="12"/>
      <c r="Y993" s="12"/>
    </row>
    <row r="994" customFormat="false" ht="15" hidden="false" customHeight="false" outlineLevel="0" collapsed="false">
      <c r="A994" s="11" t="s">
        <v>1078</v>
      </c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3"/>
      <c r="R994" s="12"/>
      <c r="S994" s="13"/>
      <c r="T994" s="14"/>
      <c r="U994" s="12"/>
      <c r="V994" s="13"/>
      <c r="W994" s="12"/>
      <c r="X994" s="12"/>
      <c r="Y994" s="12"/>
    </row>
    <row r="995" customFormat="false" ht="15" hidden="false" customHeight="false" outlineLevel="0" collapsed="false">
      <c r="A995" s="11" t="s">
        <v>1079</v>
      </c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3"/>
      <c r="R995" s="12"/>
      <c r="S995" s="13"/>
      <c r="T995" s="14"/>
      <c r="U995" s="12"/>
      <c r="V995" s="13"/>
      <c r="W995" s="12"/>
      <c r="X995" s="12"/>
      <c r="Y995" s="12"/>
    </row>
    <row r="996" customFormat="false" ht="15" hidden="false" customHeight="false" outlineLevel="0" collapsed="false">
      <c r="A996" s="11" t="s">
        <v>1080</v>
      </c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3"/>
      <c r="R996" s="12"/>
      <c r="S996" s="13"/>
      <c r="T996" s="14"/>
      <c r="U996" s="12"/>
      <c r="V996" s="13"/>
      <c r="W996" s="12"/>
      <c r="X996" s="12"/>
      <c r="Y996" s="12"/>
    </row>
    <row r="997" customFormat="false" ht="15" hidden="false" customHeight="false" outlineLevel="0" collapsed="false">
      <c r="A997" s="11" t="s">
        <v>1081</v>
      </c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3"/>
      <c r="R997" s="12"/>
      <c r="S997" s="13"/>
      <c r="T997" s="14"/>
      <c r="U997" s="12"/>
      <c r="V997" s="13"/>
      <c r="W997" s="12"/>
      <c r="X997" s="12"/>
      <c r="Y997" s="12"/>
    </row>
    <row r="998" customFormat="false" ht="15" hidden="false" customHeight="false" outlineLevel="0" collapsed="false">
      <c r="A998" s="11" t="s">
        <v>1082</v>
      </c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3"/>
      <c r="R998" s="12"/>
      <c r="S998" s="13"/>
      <c r="T998" s="14"/>
      <c r="U998" s="12"/>
      <c r="V998" s="13"/>
      <c r="W998" s="12"/>
      <c r="X998" s="12"/>
      <c r="Y998" s="12"/>
    </row>
    <row r="999" customFormat="false" ht="15" hidden="false" customHeight="false" outlineLevel="0" collapsed="false">
      <c r="A999" s="11" t="s">
        <v>1083</v>
      </c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3"/>
      <c r="R999" s="12"/>
      <c r="S999" s="13"/>
      <c r="T999" s="14"/>
      <c r="U999" s="12"/>
      <c r="V999" s="13"/>
      <c r="W999" s="12"/>
      <c r="X999" s="12"/>
      <c r="Y999" s="12"/>
    </row>
    <row r="1000" customFormat="false" ht="15" hidden="false" customHeight="false" outlineLevel="0" collapsed="false">
      <c r="A1000" s="11" t="s">
        <v>1084</v>
      </c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3"/>
      <c r="R1000" s="12"/>
      <c r="S1000" s="13"/>
      <c r="T1000" s="14"/>
      <c r="U1000" s="12"/>
      <c r="V1000" s="13"/>
      <c r="W1000" s="12"/>
      <c r="X1000" s="12"/>
      <c r="Y1000" s="12"/>
    </row>
    <row r="1001" customFormat="false" ht="15" hidden="false" customHeight="false" outlineLevel="0" collapsed="false">
      <c r="A1001" s="11" t="s">
        <v>1085</v>
      </c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3"/>
      <c r="R1001" s="12"/>
      <c r="S1001" s="13"/>
      <c r="T1001" s="14"/>
      <c r="U1001" s="12"/>
      <c r="V1001" s="13"/>
      <c r="W1001" s="12"/>
      <c r="X1001" s="12"/>
      <c r="Y1001" s="12"/>
    </row>
  </sheetData>
  <autoFilter ref="A1:Y1001"/>
  <conditionalFormatting sqref="V2:V1001">
    <cfRule type="expression" priority="2" aboveAverage="0" equalAverage="0" bottom="0" percent="0" rank="0" text="" dxfId="5">
      <formula>AND(V2&lt;&gt;"",V2-TODAY()&lt;=30)</formula>
    </cfRule>
  </conditionalFormatting>
  <conditionalFormatting sqref="S2:S1001">
    <cfRule type="expression" priority="3" aboveAverage="0" equalAverage="0" bottom="0" percent="0" rank="0" text="" dxfId="6">
      <formula>AND(S2&lt;&gt;"",S2&lt;TODAY(),O2&lt;&gt;"Live",O2&lt;&gt;"Rejected")</formula>
    </cfRule>
  </conditionalFormatting>
  <dataValidations count="6">
    <dataValidation allowBlank="true" error="Choose a value from the dropdown (lists live on the Lists tab)." errorStyle="stop" errorTitle="Pick from the list" operator="between" showDropDown="false" showErrorMessage="true" showInputMessage="false" sqref="C2:C1001" type="list">
      <formula1>Lists!$A$2:$A$40</formula1>
      <formula2>0</formula2>
    </dataValidation>
    <dataValidation allowBlank="true" error="Choose a value from the dropdown (lists live on the Lists tab)." errorStyle="stop" errorTitle="Pick from the list" operator="between" showDropDown="false" showErrorMessage="true" showInputMessage="false" sqref="E2:E1001" type="list">
      <formula1>Lists!$F$2:$F$37</formula1>
      <formula2>0</formula2>
    </dataValidation>
    <dataValidation allowBlank="true" error="Choose a value from the dropdown (lists live on the Lists tab)." errorStyle="stop" errorTitle="Pick from the list" operator="between" showDropDown="false" showErrorMessage="true" showInputMessage="false" sqref="F2:F1001" type="list">
      <formula1>Lists!$F$2:$F$37</formula1>
      <formula2>0</formula2>
    </dataValidation>
    <dataValidation allowBlank="true" error="Choose a value from the dropdown (lists live on the Lists tab)." errorStyle="stop" errorTitle="Pick from the list" operator="between" showDropDown="false" showErrorMessage="true" showInputMessage="false" sqref="M2:M1001" type="list">
      <formula1>Lists!$M$2:$M$10</formula1>
      <formula2>0</formula2>
    </dataValidation>
    <dataValidation allowBlank="true" error="Choose a value from the dropdown (lists live on the Lists tab)." errorStyle="stop" errorTitle="Pick from the list" operator="between" showDropDown="false" showErrorMessage="true" showInputMessage="false" sqref="O2:O1001" type="list">
      <formula1>Lists!$J$2:$J$10</formula1>
      <formula2>0</formula2>
    </dataValidation>
    <dataValidation allowBlank="true" error="Choose a value from the dropdown (lists live on the Lists tab)." errorStyle="stop" errorTitle="Pick from the list" operator="between" showDropDown="false" showErrorMessage="true" showInputMessage="false" sqref="X2:X1001" type="list">
      <formula1>Lists!$Q$2:$Q$5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55"/>
    <col collapsed="false" customWidth="true" hidden="false" outlineLevel="0" max="4" min="4" style="0" width="20"/>
    <col collapsed="false" customWidth="true" hidden="false" outlineLevel="0" max="5" min="5" style="0" width="13"/>
  </cols>
  <sheetData>
    <row r="1" customFormat="false" ht="19.7" hidden="false" customHeight="false" outlineLevel="0" collapsed="false">
      <c r="A1" s="15" t="s">
        <v>1086</v>
      </c>
    </row>
    <row r="2" customFormat="false" ht="15" hidden="false" customHeight="false" outlineLevel="0" collapsed="false">
      <c r="A2" s="5" t="s">
        <v>1087</v>
      </c>
    </row>
    <row r="4" customFormat="false" ht="15" hidden="false" customHeight="false" outlineLevel="0" collapsed="false">
      <c r="A4" s="16" t="s">
        <v>1088</v>
      </c>
    </row>
    <row r="5" customFormat="false" ht="15" hidden="false" customHeight="false" outlineLevel="0" collapsed="false">
      <c r="A5" s="12" t="s">
        <v>1089</v>
      </c>
      <c r="B5" s="17" t="n">
        <f aca="false">COUNTIFS(Operators!$B$2:$B$1001,"&lt;&gt;",Operators!$B$2:$B$1001,"&lt;&gt;EXAMPLE*")</f>
        <v>6</v>
      </c>
    </row>
    <row r="6" customFormat="false" ht="15" hidden="false" customHeight="false" outlineLevel="0" collapsed="false">
      <c r="A6" s="12" t="s">
        <v>1090</v>
      </c>
      <c r="B6" s="17" t="n">
        <f aca="false">B5-COUNTIFS(Operators!$O$2:$O$1001,"Lead",Operators!$B$2:$B$1001,"&lt;&gt;EXAMPLE*")-COUNTIFS(Operators!$O$2:$O$1001,"",Operators!$B$2:$B$1001,"&lt;&gt;",Operators!$B$2:$B$1001,"&lt;&gt;EXAMPLE*")-COUNTIFS(Operators!$O$2:$O$1001,"Rejected",Operators!$B$2:$B$1001,"&lt;&gt;EXAMPLE*")-COUNTIFS(Operators!$O$2:$O$1001,"Dormant",Operators!$B$2:$B$1001,"&lt;&gt;EXAMPLE*")</f>
        <v>1</v>
      </c>
    </row>
    <row r="7" customFormat="false" ht="15" hidden="false" customHeight="false" outlineLevel="0" collapsed="false">
      <c r="A7" s="12" t="s">
        <v>1091</v>
      </c>
      <c r="B7" s="17" t="n">
        <f aca="false">COUNTIFS(Operators!$O$2:$O$1001,"Live",Operators!$B$2:$B$1001,"&lt;&gt;EXAMPLE*")</f>
        <v>0</v>
      </c>
    </row>
    <row r="8" customFormat="false" ht="15" hidden="false" customHeight="false" outlineLevel="0" collapsed="false">
      <c r="A8" s="12" t="s">
        <v>1092</v>
      </c>
      <c r="B8" s="17" t="n">
        <f aca="false">COUNTIFS(Operators!$G$2:$G$1001,"&lt;&gt;",Operators!$B$2:$B$1001,"&lt;&gt;EXAMPLE*")</f>
        <v>0</v>
      </c>
    </row>
    <row r="9" customFormat="false" ht="15" hidden="false" customHeight="false" outlineLevel="0" collapsed="false">
      <c r="A9" s="12" t="s">
        <v>1093</v>
      </c>
      <c r="B9" s="18" t="n">
        <f aca="false">IF(B5=0,0,B8/B5)</f>
        <v>0</v>
      </c>
    </row>
    <row r="10" customFormat="false" ht="15" hidden="false" customHeight="false" outlineLevel="0" collapsed="false">
      <c r="A10" s="12" t="s">
        <v>1094</v>
      </c>
      <c r="B10" s="17" t="n">
        <f aca="true">COUNTIFS(Operators!$V$2:$V$1001,"&lt;="&amp;(TODAY()+30),Operators!$B$2:$B$1001,"&lt;&gt;EXAMPLE*")</f>
        <v>0</v>
      </c>
    </row>
    <row r="12" customFormat="false" ht="15" hidden="false" customHeight="false" outlineLevel="0" collapsed="false">
      <c r="A12" s="16" t="s">
        <v>1095</v>
      </c>
    </row>
    <row r="13" customFormat="false" ht="15" hidden="false" customHeight="false" outlineLevel="0" collapsed="false">
      <c r="A13" s="6" t="s">
        <v>37</v>
      </c>
      <c r="B13" s="6" t="s">
        <v>1096</v>
      </c>
      <c r="C13" s="6" t="s">
        <v>1097</v>
      </c>
    </row>
    <row r="14" customFormat="false" ht="15" hidden="false" customHeight="false" outlineLevel="0" collapsed="false">
      <c r="A14" s="12" t="s">
        <v>76</v>
      </c>
      <c r="B14" s="12" t="n">
        <f aca="false">COUNTIFS(Operators!$O$2:$O$1001,A14,Operators!$B$2:$B$1001,"&lt;&gt;EXAMPLE*")</f>
        <v>5</v>
      </c>
      <c r="C14" s="12" t="s">
        <v>1098</v>
      </c>
    </row>
    <row r="15" customFormat="false" ht="15" hidden="false" customHeight="false" outlineLevel="0" collapsed="false">
      <c r="A15" s="12" t="s">
        <v>1099</v>
      </c>
      <c r="B15" s="12" t="n">
        <f aca="false">COUNTIFS(Operators!$O$2:$O$1001,A15,Operators!$B$2:$B$1001,"&lt;&gt;EXAMPLE*")</f>
        <v>0</v>
      </c>
      <c r="C15" s="12" t="s">
        <v>1100</v>
      </c>
    </row>
    <row r="16" customFormat="false" ht="15" hidden="false" customHeight="false" outlineLevel="0" collapsed="false">
      <c r="A16" s="12" t="s">
        <v>60</v>
      </c>
      <c r="B16" s="12" t="n">
        <f aca="false">COUNTIFS(Operators!$O$2:$O$1001,A16,Operators!$B$2:$B$1001,"&lt;&gt;EXAMPLE*")</f>
        <v>0</v>
      </c>
      <c r="C16" s="12" t="s">
        <v>1101</v>
      </c>
    </row>
    <row r="17" customFormat="false" ht="15" hidden="false" customHeight="false" outlineLevel="0" collapsed="false">
      <c r="A17" s="12" t="s">
        <v>1102</v>
      </c>
      <c r="B17" s="12" t="n">
        <f aca="false">COUNTIFS(Operators!$O$2:$O$1001,A17,Operators!$B$2:$B$1001,"&lt;&gt;EXAMPLE*")</f>
        <v>0</v>
      </c>
      <c r="C17" s="12" t="s">
        <v>1103</v>
      </c>
    </row>
    <row r="18" customFormat="false" ht="15" hidden="false" customHeight="false" outlineLevel="0" collapsed="false">
      <c r="A18" s="12" t="s">
        <v>70</v>
      </c>
      <c r="B18" s="12" t="n">
        <f aca="false">COUNTIFS(Operators!$O$2:$O$1001,A18,Operators!$B$2:$B$1001,"&lt;&gt;EXAMPLE*")</f>
        <v>1</v>
      </c>
      <c r="C18" s="12" t="s">
        <v>1104</v>
      </c>
    </row>
    <row r="19" customFormat="false" ht="15" hidden="false" customHeight="false" outlineLevel="0" collapsed="false">
      <c r="A19" s="12" t="s">
        <v>1105</v>
      </c>
      <c r="B19" s="12" t="n">
        <f aca="false">COUNTIFS(Operators!$O$2:$O$1001,A19,Operators!$B$2:$B$1001,"&lt;&gt;EXAMPLE*")</f>
        <v>0</v>
      </c>
      <c r="C19" s="12" t="s">
        <v>1106</v>
      </c>
    </row>
    <row r="20" customFormat="false" ht="15" hidden="false" customHeight="false" outlineLevel="0" collapsed="false">
      <c r="A20" s="12" t="s">
        <v>1107</v>
      </c>
      <c r="B20" s="12" t="n">
        <f aca="false">COUNTIFS(Operators!$O$2:$O$1001,A20,Operators!$B$2:$B$1001,"&lt;&gt;EXAMPLE*")</f>
        <v>0</v>
      </c>
      <c r="C20" s="12" t="s">
        <v>1108</v>
      </c>
    </row>
    <row r="21" customFormat="false" ht="15" hidden="false" customHeight="false" outlineLevel="0" collapsed="false">
      <c r="A21" s="12" t="s">
        <v>1109</v>
      </c>
      <c r="B21" s="12" t="n">
        <f aca="false">COUNTIFS(Operators!$O$2:$O$1001,A21,Operators!$B$2:$B$1001,"&lt;&gt;EXAMPLE*")</f>
        <v>0</v>
      </c>
      <c r="C21" s="12" t="s">
        <v>1110</v>
      </c>
    </row>
    <row r="22" customFormat="false" ht="15" hidden="false" customHeight="false" outlineLevel="0" collapsed="false">
      <c r="A22" s="12" t="s">
        <v>1111</v>
      </c>
      <c r="B22" s="12" t="n">
        <f aca="false">COUNTIFS(Operators!$O$2:$O$1001,A22,Operators!$B$2:$B$1001,"&lt;&gt;EXAMPLE*")</f>
        <v>0</v>
      </c>
      <c r="C22" s="12" t="s">
        <v>1112</v>
      </c>
    </row>
    <row r="25" customFormat="false" ht="15" hidden="false" customHeight="false" outlineLevel="0" collapsed="false">
      <c r="A25" s="16" t="s">
        <v>1113</v>
      </c>
    </row>
    <row r="26" customFormat="false" ht="15" hidden="false" customHeight="false" outlineLevel="0" collapsed="false">
      <c r="A26" s="6" t="s">
        <v>25</v>
      </c>
      <c r="B26" s="6" t="s">
        <v>1096</v>
      </c>
      <c r="C26" s="6" t="s">
        <v>1114</v>
      </c>
      <c r="D26" s="6" t="s">
        <v>1115</v>
      </c>
      <c r="E26" s="6" t="s">
        <v>1116</v>
      </c>
    </row>
    <row r="27" customFormat="false" ht="15" hidden="false" customHeight="false" outlineLevel="0" collapsed="false">
      <c r="A27" s="12" t="s">
        <v>1117</v>
      </c>
      <c r="B27" s="12" t="n">
        <f aca="false">COUNTIFS(Operators!$C$2:$C$1001,A27,Operators!$B$2:$B$1001,"&lt;&gt;EXAMPLE*")</f>
        <v>0</v>
      </c>
      <c r="C27" s="12" t="n">
        <f aca="false">B27-COUNTIFS(Operators!$C$2:$C$1001,A27,Operators!$O$2:$O$1001,"Lead",Operators!$B$2:$B$1001,"&lt;&gt;EXAMPLE*")-COUNTIFS(Operators!$C$2:$C$1001,A27,Operators!$O$2:$O$1001,"",Operators!$B$2:$B$1001,"&lt;&gt;EXAMPLE*")-COUNTIFS(Operators!$C$2:$C$1001,A27,Operators!$O$2:$O$1001,"Rejected",Operators!$B$2:$B$1001,"&lt;&gt;EXAMPLE*")-COUNTIFS(Operators!$C$2:$C$1001,A27,Operators!$O$2:$O$1001,"Dormant",Operators!$B$2:$B$1001,"&lt;&gt;EXAMPLE*")</f>
        <v>0</v>
      </c>
      <c r="D27" s="12" t="n">
        <f aca="false">COUNTIFS(Operators!$C$2:$C$1001,A27,Operators!$O$2:$O$1001,"Signed",Operators!$B$2:$B$1001,"&lt;&gt;EXAMPLE*")+COUNTIFS(Operators!$C$2:$C$1001,A27,Operators!$O$2:$O$1001,"Filmed",Operators!$B$2:$B$1001,"&lt;&gt;EXAMPLE*")+COUNTIFS(Operators!$C$2:$C$1001,A27,Operators!$O$2:$O$1001,"Live",Operators!$B$2:$B$1001,"&lt;&gt;EXAMPLE*")</f>
        <v>0</v>
      </c>
      <c r="E27" s="12" t="s">
        <v>1118</v>
      </c>
    </row>
    <row r="28" customFormat="false" ht="15" hidden="false" customHeight="false" outlineLevel="0" collapsed="false">
      <c r="A28" s="12" t="s">
        <v>50</v>
      </c>
      <c r="B28" s="12" t="n">
        <f aca="false">COUNTIFS(Operators!$C$2:$C$1001,A28,Operators!$B$2:$B$1001,"&lt;&gt;EXAMPLE*")</f>
        <v>6</v>
      </c>
      <c r="C28" s="12" t="n">
        <f aca="false">B28-COUNTIFS(Operators!$C$2:$C$1001,A28,Operators!$O$2:$O$1001,"Lead",Operators!$B$2:$B$1001,"&lt;&gt;EXAMPLE*")-COUNTIFS(Operators!$C$2:$C$1001,A28,Operators!$O$2:$O$1001,"",Operators!$B$2:$B$1001,"&lt;&gt;EXAMPLE*")-COUNTIFS(Operators!$C$2:$C$1001,A28,Operators!$O$2:$O$1001,"Rejected",Operators!$B$2:$B$1001,"&lt;&gt;EXAMPLE*")-COUNTIFS(Operators!$C$2:$C$1001,A28,Operators!$O$2:$O$1001,"Dormant",Operators!$B$2:$B$1001,"&lt;&gt;EXAMPLE*")</f>
        <v>1</v>
      </c>
      <c r="D28" s="12" t="n">
        <f aca="false">COUNTIFS(Operators!$C$2:$C$1001,A28,Operators!$O$2:$O$1001,"Signed",Operators!$B$2:$B$1001,"&lt;&gt;EXAMPLE*")+COUNTIFS(Operators!$C$2:$C$1001,A28,Operators!$O$2:$O$1001,"Filmed",Operators!$B$2:$B$1001,"&lt;&gt;EXAMPLE*")+COUNTIFS(Operators!$C$2:$C$1001,A28,Operators!$O$2:$O$1001,"Live",Operators!$B$2:$B$1001,"&lt;&gt;EXAMPLE*")</f>
        <v>1</v>
      </c>
      <c r="E28" s="12" t="s">
        <v>1118</v>
      </c>
    </row>
    <row r="29" customFormat="false" ht="15" hidden="false" customHeight="false" outlineLevel="0" collapsed="false">
      <c r="A29" s="12" t="s">
        <v>1119</v>
      </c>
      <c r="B29" s="12" t="n">
        <f aca="false">COUNTIFS(Operators!$C$2:$C$1001,A29,Operators!$B$2:$B$1001,"&lt;&gt;EXAMPLE*")</f>
        <v>0</v>
      </c>
      <c r="C29" s="12" t="n">
        <f aca="false">B29-COUNTIFS(Operators!$C$2:$C$1001,A29,Operators!$O$2:$O$1001,"Lead",Operators!$B$2:$B$1001,"&lt;&gt;EXAMPLE*")-COUNTIFS(Operators!$C$2:$C$1001,A29,Operators!$O$2:$O$1001,"",Operators!$B$2:$B$1001,"&lt;&gt;EXAMPLE*")-COUNTIFS(Operators!$C$2:$C$1001,A29,Operators!$O$2:$O$1001,"Rejected",Operators!$B$2:$B$1001,"&lt;&gt;EXAMPLE*")-COUNTIFS(Operators!$C$2:$C$1001,A29,Operators!$O$2:$O$1001,"Dormant",Operators!$B$2:$B$1001,"&lt;&gt;EXAMPLE*")</f>
        <v>0</v>
      </c>
      <c r="D29" s="12" t="n">
        <f aca="false">COUNTIFS(Operators!$C$2:$C$1001,A29,Operators!$O$2:$O$1001,"Signed",Operators!$B$2:$B$1001,"&lt;&gt;EXAMPLE*")+COUNTIFS(Operators!$C$2:$C$1001,A29,Operators!$O$2:$O$1001,"Filmed",Operators!$B$2:$B$1001,"&lt;&gt;EXAMPLE*")+COUNTIFS(Operators!$C$2:$C$1001,A29,Operators!$O$2:$O$1001,"Live",Operators!$B$2:$B$1001,"&lt;&gt;EXAMPLE*")</f>
        <v>0</v>
      </c>
      <c r="E29" s="12" t="s">
        <v>1118</v>
      </c>
    </row>
    <row r="30" customFormat="false" ht="15" hidden="false" customHeight="false" outlineLevel="0" collapsed="false">
      <c r="A30" s="12" t="s">
        <v>1120</v>
      </c>
      <c r="B30" s="12" t="n">
        <f aca="false">COUNTIFS(Operators!$C$2:$C$1001,A30,Operators!$B$2:$B$1001,"&lt;&gt;EXAMPLE*")</f>
        <v>0</v>
      </c>
      <c r="C30" s="12" t="n">
        <f aca="false">B30-COUNTIFS(Operators!$C$2:$C$1001,A30,Operators!$O$2:$O$1001,"Lead",Operators!$B$2:$B$1001,"&lt;&gt;EXAMPLE*")-COUNTIFS(Operators!$C$2:$C$1001,A30,Operators!$O$2:$O$1001,"",Operators!$B$2:$B$1001,"&lt;&gt;EXAMPLE*")-COUNTIFS(Operators!$C$2:$C$1001,A30,Operators!$O$2:$O$1001,"Rejected",Operators!$B$2:$B$1001,"&lt;&gt;EXAMPLE*")-COUNTIFS(Operators!$C$2:$C$1001,A30,Operators!$O$2:$O$1001,"Dormant",Operators!$B$2:$B$1001,"&lt;&gt;EXAMPLE*")</f>
        <v>0</v>
      </c>
      <c r="D30" s="12" t="n">
        <f aca="false">COUNTIFS(Operators!$C$2:$C$1001,A30,Operators!$O$2:$O$1001,"Signed",Operators!$B$2:$B$1001,"&lt;&gt;EXAMPLE*")+COUNTIFS(Operators!$C$2:$C$1001,A30,Operators!$O$2:$O$1001,"Filmed",Operators!$B$2:$B$1001,"&lt;&gt;EXAMPLE*")+COUNTIFS(Operators!$C$2:$C$1001,A30,Operators!$O$2:$O$1001,"Live",Operators!$B$2:$B$1001,"&lt;&gt;EXAMPLE*")</f>
        <v>0</v>
      </c>
      <c r="E30" s="12" t="s">
        <v>1118</v>
      </c>
    </row>
    <row r="31" customFormat="false" ht="15" hidden="false" customHeight="false" outlineLevel="0" collapsed="false">
      <c r="A31" s="12" t="s">
        <v>1121</v>
      </c>
      <c r="B31" s="12" t="n">
        <f aca="false">COUNTIFS(Operators!$C$2:$C$1001,A31,Operators!$B$2:$B$1001,"&lt;&gt;EXAMPLE*")</f>
        <v>0</v>
      </c>
      <c r="C31" s="12" t="n">
        <f aca="false">B31-COUNTIFS(Operators!$C$2:$C$1001,A31,Operators!$O$2:$O$1001,"Lead",Operators!$B$2:$B$1001,"&lt;&gt;EXAMPLE*")-COUNTIFS(Operators!$C$2:$C$1001,A31,Operators!$O$2:$O$1001,"",Operators!$B$2:$B$1001,"&lt;&gt;EXAMPLE*")-COUNTIFS(Operators!$C$2:$C$1001,A31,Operators!$O$2:$O$1001,"Rejected",Operators!$B$2:$B$1001,"&lt;&gt;EXAMPLE*")-COUNTIFS(Operators!$C$2:$C$1001,A31,Operators!$O$2:$O$1001,"Dormant",Operators!$B$2:$B$1001,"&lt;&gt;EXAMPLE*")</f>
        <v>0</v>
      </c>
      <c r="D31" s="12" t="n">
        <f aca="false">COUNTIFS(Operators!$C$2:$C$1001,A31,Operators!$O$2:$O$1001,"Signed",Operators!$B$2:$B$1001,"&lt;&gt;EXAMPLE*")+COUNTIFS(Operators!$C$2:$C$1001,A31,Operators!$O$2:$O$1001,"Filmed",Operators!$B$2:$B$1001,"&lt;&gt;EXAMPLE*")+COUNTIFS(Operators!$C$2:$C$1001,A31,Operators!$O$2:$O$1001,"Live",Operators!$B$2:$B$1001,"&lt;&gt;EXAMPLE*")</f>
        <v>0</v>
      </c>
      <c r="E31" s="12" t="s">
        <v>1118</v>
      </c>
    </row>
    <row r="32" customFormat="false" ht="15" hidden="false" customHeight="false" outlineLevel="0" collapsed="false">
      <c r="A32" s="12" t="s">
        <v>1122</v>
      </c>
      <c r="B32" s="12" t="n">
        <f aca="false">COUNTIFS(Operators!$C$2:$C$1001,A32,Operators!$B$2:$B$1001,"&lt;&gt;EXAMPLE*")</f>
        <v>0</v>
      </c>
      <c r="C32" s="12" t="n">
        <f aca="false">B32-COUNTIFS(Operators!$C$2:$C$1001,A32,Operators!$O$2:$O$1001,"Lead",Operators!$B$2:$B$1001,"&lt;&gt;EXAMPLE*")-COUNTIFS(Operators!$C$2:$C$1001,A32,Operators!$O$2:$O$1001,"",Operators!$B$2:$B$1001,"&lt;&gt;EXAMPLE*")-COUNTIFS(Operators!$C$2:$C$1001,A32,Operators!$O$2:$O$1001,"Rejected",Operators!$B$2:$B$1001,"&lt;&gt;EXAMPLE*")-COUNTIFS(Operators!$C$2:$C$1001,A32,Operators!$O$2:$O$1001,"Dormant",Operators!$B$2:$B$1001,"&lt;&gt;EXAMPLE*")</f>
        <v>0</v>
      </c>
      <c r="D32" s="12" t="n">
        <f aca="false">COUNTIFS(Operators!$C$2:$C$1001,A32,Operators!$O$2:$O$1001,"Signed",Operators!$B$2:$B$1001,"&lt;&gt;EXAMPLE*")+COUNTIFS(Operators!$C$2:$C$1001,A32,Operators!$O$2:$O$1001,"Filmed",Operators!$B$2:$B$1001,"&lt;&gt;EXAMPLE*")+COUNTIFS(Operators!$C$2:$C$1001,A32,Operators!$O$2:$O$1001,"Live",Operators!$B$2:$B$1001,"&lt;&gt;EXAMPLE*")</f>
        <v>0</v>
      </c>
      <c r="E32" s="12" t="s">
        <v>1118</v>
      </c>
    </row>
    <row r="33" customFormat="false" ht="15" hidden="false" customHeight="false" outlineLevel="0" collapsed="false">
      <c r="A33" s="12" t="s">
        <v>1123</v>
      </c>
      <c r="B33" s="12" t="n">
        <f aca="false">COUNTIFS(Operators!$C$2:$C$1001,A33,Operators!$B$2:$B$1001,"&lt;&gt;EXAMPLE*")</f>
        <v>0</v>
      </c>
      <c r="C33" s="12" t="n">
        <f aca="false">B33-COUNTIFS(Operators!$C$2:$C$1001,A33,Operators!$O$2:$O$1001,"Lead",Operators!$B$2:$B$1001,"&lt;&gt;EXAMPLE*")-COUNTIFS(Operators!$C$2:$C$1001,A33,Operators!$O$2:$O$1001,"",Operators!$B$2:$B$1001,"&lt;&gt;EXAMPLE*")-COUNTIFS(Operators!$C$2:$C$1001,A33,Operators!$O$2:$O$1001,"Rejected",Operators!$B$2:$B$1001,"&lt;&gt;EXAMPLE*")-COUNTIFS(Operators!$C$2:$C$1001,A33,Operators!$O$2:$O$1001,"Dormant",Operators!$B$2:$B$1001,"&lt;&gt;EXAMPLE*")</f>
        <v>0</v>
      </c>
      <c r="D33" s="12" t="n">
        <f aca="false">COUNTIFS(Operators!$C$2:$C$1001,A33,Operators!$O$2:$O$1001,"Signed",Operators!$B$2:$B$1001,"&lt;&gt;EXAMPLE*")+COUNTIFS(Operators!$C$2:$C$1001,A33,Operators!$O$2:$O$1001,"Filmed",Operators!$B$2:$B$1001,"&lt;&gt;EXAMPLE*")+COUNTIFS(Operators!$C$2:$C$1001,A33,Operators!$O$2:$O$1001,"Live",Operators!$B$2:$B$1001,"&lt;&gt;EXAMPLE*")</f>
        <v>0</v>
      </c>
      <c r="E33" s="12" t="s">
        <v>1118</v>
      </c>
    </row>
    <row r="34" customFormat="false" ht="15" hidden="false" customHeight="false" outlineLevel="0" collapsed="false">
      <c r="A34" s="12" t="s">
        <v>1124</v>
      </c>
      <c r="B34" s="12" t="n">
        <f aca="false">COUNTIFS(Operators!$C$2:$C$1001,A34,Operators!$B$2:$B$1001,"&lt;&gt;EXAMPLE*")</f>
        <v>0</v>
      </c>
      <c r="C34" s="12" t="n">
        <f aca="false">B34-COUNTIFS(Operators!$C$2:$C$1001,A34,Operators!$O$2:$O$1001,"Lead",Operators!$B$2:$B$1001,"&lt;&gt;EXAMPLE*")-COUNTIFS(Operators!$C$2:$C$1001,A34,Operators!$O$2:$O$1001,"",Operators!$B$2:$B$1001,"&lt;&gt;EXAMPLE*")-COUNTIFS(Operators!$C$2:$C$1001,A34,Operators!$O$2:$O$1001,"Rejected",Operators!$B$2:$B$1001,"&lt;&gt;EXAMPLE*")-COUNTIFS(Operators!$C$2:$C$1001,A34,Operators!$O$2:$O$1001,"Dormant",Operators!$B$2:$B$1001,"&lt;&gt;EXAMPLE*")</f>
        <v>0</v>
      </c>
      <c r="D34" s="12" t="n">
        <f aca="false">COUNTIFS(Operators!$C$2:$C$1001,A34,Operators!$O$2:$O$1001,"Signed",Operators!$B$2:$B$1001,"&lt;&gt;EXAMPLE*")+COUNTIFS(Operators!$C$2:$C$1001,A34,Operators!$O$2:$O$1001,"Filmed",Operators!$B$2:$B$1001,"&lt;&gt;EXAMPLE*")+COUNTIFS(Operators!$C$2:$C$1001,A34,Operators!$O$2:$O$1001,"Live",Operators!$B$2:$B$1001,"&lt;&gt;EXAMPLE*")</f>
        <v>0</v>
      </c>
      <c r="E34" s="12" t="s">
        <v>1118</v>
      </c>
    </row>
    <row r="35" customFormat="false" ht="15" hidden="false" customHeight="false" outlineLevel="0" collapsed="false">
      <c r="A35" s="12" t="s">
        <v>1125</v>
      </c>
      <c r="B35" s="12" t="n">
        <f aca="false">COUNTIFS(Operators!$C$2:$C$1001,A35,Operators!$B$2:$B$1001,"&lt;&gt;EXAMPLE*")</f>
        <v>0</v>
      </c>
      <c r="C35" s="12" t="n">
        <f aca="false">B35-COUNTIFS(Operators!$C$2:$C$1001,A35,Operators!$O$2:$O$1001,"Lead",Operators!$B$2:$B$1001,"&lt;&gt;EXAMPLE*")-COUNTIFS(Operators!$C$2:$C$1001,A35,Operators!$O$2:$O$1001,"",Operators!$B$2:$B$1001,"&lt;&gt;EXAMPLE*")-COUNTIFS(Operators!$C$2:$C$1001,A35,Operators!$O$2:$O$1001,"Rejected",Operators!$B$2:$B$1001,"&lt;&gt;EXAMPLE*")-COUNTIFS(Operators!$C$2:$C$1001,A35,Operators!$O$2:$O$1001,"Dormant",Operators!$B$2:$B$1001,"&lt;&gt;EXAMPLE*")</f>
        <v>0</v>
      </c>
      <c r="D35" s="12" t="n">
        <f aca="false">COUNTIFS(Operators!$C$2:$C$1001,A35,Operators!$O$2:$O$1001,"Signed",Operators!$B$2:$B$1001,"&lt;&gt;EXAMPLE*")+COUNTIFS(Operators!$C$2:$C$1001,A35,Operators!$O$2:$O$1001,"Filmed",Operators!$B$2:$B$1001,"&lt;&gt;EXAMPLE*")+COUNTIFS(Operators!$C$2:$C$1001,A35,Operators!$O$2:$O$1001,"Live",Operators!$B$2:$B$1001,"&lt;&gt;EXAMPLE*")</f>
        <v>0</v>
      </c>
      <c r="E35" s="12" t="s">
        <v>1118</v>
      </c>
    </row>
    <row r="36" customFormat="false" ht="15" hidden="false" customHeight="false" outlineLevel="0" collapsed="false">
      <c r="A36" s="12" t="s">
        <v>1126</v>
      </c>
      <c r="B36" s="12" t="n">
        <f aca="false">COUNTIFS(Operators!$C$2:$C$1001,A36,Operators!$B$2:$B$1001,"&lt;&gt;EXAMPLE*")</f>
        <v>0</v>
      </c>
      <c r="C36" s="12" t="n">
        <f aca="false">B36-COUNTIFS(Operators!$C$2:$C$1001,A36,Operators!$O$2:$O$1001,"Lead",Operators!$B$2:$B$1001,"&lt;&gt;EXAMPLE*")-COUNTIFS(Operators!$C$2:$C$1001,A36,Operators!$O$2:$O$1001,"",Operators!$B$2:$B$1001,"&lt;&gt;EXAMPLE*")-COUNTIFS(Operators!$C$2:$C$1001,A36,Operators!$O$2:$O$1001,"Rejected",Operators!$B$2:$B$1001,"&lt;&gt;EXAMPLE*")-COUNTIFS(Operators!$C$2:$C$1001,A36,Operators!$O$2:$O$1001,"Dormant",Operators!$B$2:$B$1001,"&lt;&gt;EXAMPLE*")</f>
        <v>0</v>
      </c>
      <c r="D36" s="12" t="n">
        <f aca="false">COUNTIFS(Operators!$C$2:$C$1001,A36,Operators!$O$2:$O$1001,"Signed",Operators!$B$2:$B$1001,"&lt;&gt;EXAMPLE*")+COUNTIFS(Operators!$C$2:$C$1001,A36,Operators!$O$2:$O$1001,"Filmed",Operators!$B$2:$B$1001,"&lt;&gt;EXAMPLE*")+COUNTIFS(Operators!$C$2:$C$1001,A36,Operators!$O$2:$O$1001,"Live",Operators!$B$2:$B$1001,"&lt;&gt;EXAMPLE*")</f>
        <v>0</v>
      </c>
      <c r="E36" s="12" t="s">
        <v>1118</v>
      </c>
    </row>
    <row r="37" customFormat="false" ht="15" hidden="false" customHeight="false" outlineLevel="0" collapsed="false">
      <c r="A37" s="12" t="s">
        <v>1127</v>
      </c>
      <c r="B37" s="12" t="n">
        <f aca="false">COUNTIFS(Operators!$C$2:$C$1001,A37,Operators!$B$2:$B$1001,"&lt;&gt;EXAMPLE*")</f>
        <v>0</v>
      </c>
      <c r="C37" s="12" t="n">
        <f aca="false">B37-COUNTIFS(Operators!$C$2:$C$1001,A37,Operators!$O$2:$O$1001,"Lead",Operators!$B$2:$B$1001,"&lt;&gt;EXAMPLE*")-COUNTIFS(Operators!$C$2:$C$1001,A37,Operators!$O$2:$O$1001,"",Operators!$B$2:$B$1001,"&lt;&gt;EXAMPLE*")-COUNTIFS(Operators!$C$2:$C$1001,A37,Operators!$O$2:$O$1001,"Rejected",Operators!$B$2:$B$1001,"&lt;&gt;EXAMPLE*")-COUNTIFS(Operators!$C$2:$C$1001,A37,Operators!$O$2:$O$1001,"Dormant",Operators!$B$2:$B$1001,"&lt;&gt;EXAMPLE*")</f>
        <v>0</v>
      </c>
      <c r="D37" s="12" t="n">
        <f aca="false">COUNTIFS(Operators!$C$2:$C$1001,A37,Operators!$O$2:$O$1001,"Signed",Operators!$B$2:$B$1001,"&lt;&gt;EXAMPLE*")+COUNTIFS(Operators!$C$2:$C$1001,A37,Operators!$O$2:$O$1001,"Filmed",Operators!$B$2:$B$1001,"&lt;&gt;EXAMPLE*")+COUNTIFS(Operators!$C$2:$C$1001,A37,Operators!$O$2:$O$1001,"Live",Operators!$B$2:$B$1001,"&lt;&gt;EXAMPLE*")</f>
        <v>0</v>
      </c>
      <c r="E37" s="12" t="s">
        <v>1118</v>
      </c>
    </row>
    <row r="38" customFormat="false" ht="15" hidden="false" customHeight="false" outlineLevel="0" collapsed="false">
      <c r="A38" s="12" t="s">
        <v>1128</v>
      </c>
      <c r="B38" s="12" t="n">
        <f aca="false">COUNTIFS(Operators!$C$2:$C$1001,A38,Operators!$B$2:$B$1001,"&lt;&gt;EXAMPLE*")</f>
        <v>0</v>
      </c>
      <c r="C38" s="12" t="n">
        <f aca="false">B38-COUNTIFS(Operators!$C$2:$C$1001,A38,Operators!$O$2:$O$1001,"Lead",Operators!$B$2:$B$1001,"&lt;&gt;EXAMPLE*")-COUNTIFS(Operators!$C$2:$C$1001,A38,Operators!$O$2:$O$1001,"",Operators!$B$2:$B$1001,"&lt;&gt;EXAMPLE*")-COUNTIFS(Operators!$C$2:$C$1001,A38,Operators!$O$2:$O$1001,"Rejected",Operators!$B$2:$B$1001,"&lt;&gt;EXAMPLE*")-COUNTIFS(Operators!$C$2:$C$1001,A38,Operators!$O$2:$O$1001,"Dormant",Operators!$B$2:$B$1001,"&lt;&gt;EXAMPLE*")</f>
        <v>0</v>
      </c>
      <c r="D38" s="12" t="n">
        <f aca="false">COUNTIFS(Operators!$C$2:$C$1001,A38,Operators!$O$2:$O$1001,"Signed",Operators!$B$2:$B$1001,"&lt;&gt;EXAMPLE*")+COUNTIFS(Operators!$C$2:$C$1001,A38,Operators!$O$2:$O$1001,"Filmed",Operators!$B$2:$B$1001,"&lt;&gt;EXAMPLE*")+COUNTIFS(Operators!$C$2:$C$1001,A38,Operators!$O$2:$O$1001,"Live",Operators!$B$2:$B$1001,"&lt;&gt;EXAMPLE*")</f>
        <v>0</v>
      </c>
      <c r="E38" s="12" t="s">
        <v>1118</v>
      </c>
    </row>
    <row r="39" customFormat="false" ht="15" hidden="false" customHeight="false" outlineLevel="0" collapsed="false">
      <c r="A39" s="12" t="s">
        <v>1129</v>
      </c>
      <c r="B39" s="12" t="n">
        <f aca="false">COUNTIFS(Operators!$C$2:$C$1001,A39,Operators!$B$2:$B$1001,"&lt;&gt;EXAMPLE*")</f>
        <v>0</v>
      </c>
      <c r="C39" s="12" t="n">
        <f aca="false">B39-COUNTIFS(Operators!$C$2:$C$1001,A39,Operators!$O$2:$O$1001,"Lead",Operators!$B$2:$B$1001,"&lt;&gt;EXAMPLE*")-COUNTIFS(Operators!$C$2:$C$1001,A39,Operators!$O$2:$O$1001,"",Operators!$B$2:$B$1001,"&lt;&gt;EXAMPLE*")-COUNTIFS(Operators!$C$2:$C$1001,A39,Operators!$O$2:$O$1001,"Rejected",Operators!$B$2:$B$1001,"&lt;&gt;EXAMPLE*")-COUNTIFS(Operators!$C$2:$C$1001,A39,Operators!$O$2:$O$1001,"Dormant",Operators!$B$2:$B$1001,"&lt;&gt;EXAMPLE*")</f>
        <v>0</v>
      </c>
      <c r="D39" s="12" t="n">
        <f aca="false">COUNTIFS(Operators!$C$2:$C$1001,A39,Operators!$O$2:$O$1001,"Signed",Operators!$B$2:$B$1001,"&lt;&gt;EXAMPLE*")+COUNTIFS(Operators!$C$2:$C$1001,A39,Operators!$O$2:$O$1001,"Filmed",Operators!$B$2:$B$1001,"&lt;&gt;EXAMPLE*")+COUNTIFS(Operators!$C$2:$C$1001,A39,Operators!$O$2:$O$1001,"Live",Operators!$B$2:$B$1001,"&lt;&gt;EXAMPLE*")</f>
        <v>0</v>
      </c>
      <c r="E39" s="12" t="s">
        <v>1118</v>
      </c>
    </row>
    <row r="40" customFormat="false" ht="15" hidden="false" customHeight="false" outlineLevel="0" collapsed="false">
      <c r="A40" s="12" t="s">
        <v>1130</v>
      </c>
      <c r="B40" s="12" t="n">
        <f aca="false">COUNTIFS(Operators!$C$2:$C$1001,A40,Operators!$B$2:$B$1001,"&lt;&gt;EXAMPLE*")</f>
        <v>0</v>
      </c>
      <c r="C40" s="12" t="n">
        <f aca="false">B40-COUNTIFS(Operators!$C$2:$C$1001,A40,Operators!$O$2:$O$1001,"Lead",Operators!$B$2:$B$1001,"&lt;&gt;EXAMPLE*")-COUNTIFS(Operators!$C$2:$C$1001,A40,Operators!$O$2:$O$1001,"",Operators!$B$2:$B$1001,"&lt;&gt;EXAMPLE*")-COUNTIFS(Operators!$C$2:$C$1001,A40,Operators!$O$2:$O$1001,"Rejected",Operators!$B$2:$B$1001,"&lt;&gt;EXAMPLE*")-COUNTIFS(Operators!$C$2:$C$1001,A40,Operators!$O$2:$O$1001,"Dormant",Operators!$B$2:$B$1001,"&lt;&gt;EXAMPLE*")</f>
        <v>0</v>
      </c>
      <c r="D40" s="12" t="n">
        <f aca="false">COUNTIFS(Operators!$C$2:$C$1001,A40,Operators!$O$2:$O$1001,"Signed",Operators!$B$2:$B$1001,"&lt;&gt;EXAMPLE*")+COUNTIFS(Operators!$C$2:$C$1001,A40,Operators!$O$2:$O$1001,"Filmed",Operators!$B$2:$B$1001,"&lt;&gt;EXAMPLE*")+COUNTIFS(Operators!$C$2:$C$1001,A40,Operators!$O$2:$O$1001,"Live",Operators!$B$2:$B$1001,"&lt;&gt;EXAMPLE*")</f>
        <v>0</v>
      </c>
      <c r="E40" s="12" t="s">
        <v>1118</v>
      </c>
    </row>
    <row r="41" customFormat="false" ht="15" hidden="false" customHeight="false" outlineLevel="0" collapsed="false">
      <c r="A41" s="12" t="s">
        <v>1131</v>
      </c>
      <c r="B41" s="12" t="n">
        <f aca="false">COUNTIFS(Operators!$C$2:$C$1001,A41,Operators!$B$2:$B$1001,"&lt;&gt;EXAMPLE*")</f>
        <v>0</v>
      </c>
      <c r="C41" s="12" t="n">
        <f aca="false">B41-COUNTIFS(Operators!$C$2:$C$1001,A41,Operators!$O$2:$O$1001,"Lead",Operators!$B$2:$B$1001,"&lt;&gt;EXAMPLE*")-COUNTIFS(Operators!$C$2:$C$1001,A41,Operators!$O$2:$O$1001,"",Operators!$B$2:$B$1001,"&lt;&gt;EXAMPLE*")-COUNTIFS(Operators!$C$2:$C$1001,A41,Operators!$O$2:$O$1001,"Rejected",Operators!$B$2:$B$1001,"&lt;&gt;EXAMPLE*")-COUNTIFS(Operators!$C$2:$C$1001,A41,Operators!$O$2:$O$1001,"Dormant",Operators!$B$2:$B$1001,"&lt;&gt;EXAMPLE*")</f>
        <v>0</v>
      </c>
      <c r="D41" s="12" t="n">
        <f aca="false">COUNTIFS(Operators!$C$2:$C$1001,A41,Operators!$O$2:$O$1001,"Signed",Operators!$B$2:$B$1001,"&lt;&gt;EXAMPLE*")+COUNTIFS(Operators!$C$2:$C$1001,A41,Operators!$O$2:$O$1001,"Filmed",Operators!$B$2:$B$1001,"&lt;&gt;EXAMPLE*")+COUNTIFS(Operators!$C$2:$C$1001,A41,Operators!$O$2:$O$1001,"Live",Operators!$B$2:$B$1001,"&lt;&gt;EXAMPLE*")</f>
        <v>0</v>
      </c>
      <c r="E41" s="12" t="s">
        <v>1118</v>
      </c>
    </row>
    <row r="42" customFormat="false" ht="15" hidden="false" customHeight="false" outlineLevel="0" collapsed="false">
      <c r="A42" s="12" t="s">
        <v>1132</v>
      </c>
      <c r="B42" s="12" t="n">
        <f aca="false">COUNTIFS(Operators!$C$2:$C$1001,A42,Operators!$B$2:$B$1001,"&lt;&gt;EXAMPLE*")</f>
        <v>0</v>
      </c>
      <c r="C42" s="12" t="n">
        <f aca="false">B42-COUNTIFS(Operators!$C$2:$C$1001,A42,Operators!$O$2:$O$1001,"Lead",Operators!$B$2:$B$1001,"&lt;&gt;EXAMPLE*")-COUNTIFS(Operators!$C$2:$C$1001,A42,Operators!$O$2:$O$1001,"",Operators!$B$2:$B$1001,"&lt;&gt;EXAMPLE*")-COUNTIFS(Operators!$C$2:$C$1001,A42,Operators!$O$2:$O$1001,"Rejected",Operators!$B$2:$B$1001,"&lt;&gt;EXAMPLE*")-COUNTIFS(Operators!$C$2:$C$1001,A42,Operators!$O$2:$O$1001,"Dormant",Operators!$B$2:$B$1001,"&lt;&gt;EXAMPLE*")</f>
        <v>0</v>
      </c>
      <c r="D42" s="12" t="n">
        <f aca="false">COUNTIFS(Operators!$C$2:$C$1001,A42,Operators!$O$2:$O$1001,"Signed",Operators!$B$2:$B$1001,"&lt;&gt;EXAMPLE*")+COUNTIFS(Operators!$C$2:$C$1001,A42,Operators!$O$2:$O$1001,"Filmed",Operators!$B$2:$B$1001,"&lt;&gt;EXAMPLE*")+COUNTIFS(Operators!$C$2:$C$1001,A42,Operators!$O$2:$O$1001,"Live",Operators!$B$2:$B$1001,"&lt;&gt;EXAMPLE*")</f>
        <v>0</v>
      </c>
      <c r="E42" s="12" t="s">
        <v>1118</v>
      </c>
    </row>
    <row r="43" customFormat="false" ht="15" hidden="false" customHeight="false" outlineLevel="0" collapsed="false">
      <c r="A43" s="12" t="s">
        <v>1133</v>
      </c>
      <c r="B43" s="12" t="n">
        <f aca="false">COUNTIFS(Operators!$C$2:$C$1001,A43,Operators!$B$2:$B$1001,"&lt;&gt;EXAMPLE*")</f>
        <v>0</v>
      </c>
      <c r="C43" s="12" t="n">
        <f aca="false">B43-COUNTIFS(Operators!$C$2:$C$1001,A43,Operators!$O$2:$O$1001,"Lead",Operators!$B$2:$B$1001,"&lt;&gt;EXAMPLE*")-COUNTIFS(Operators!$C$2:$C$1001,A43,Operators!$O$2:$O$1001,"",Operators!$B$2:$B$1001,"&lt;&gt;EXAMPLE*")-COUNTIFS(Operators!$C$2:$C$1001,A43,Operators!$O$2:$O$1001,"Rejected",Operators!$B$2:$B$1001,"&lt;&gt;EXAMPLE*")-COUNTIFS(Operators!$C$2:$C$1001,A43,Operators!$O$2:$O$1001,"Dormant",Operators!$B$2:$B$1001,"&lt;&gt;EXAMPLE*")</f>
        <v>0</v>
      </c>
      <c r="D43" s="12" t="n">
        <f aca="false">COUNTIFS(Operators!$C$2:$C$1001,A43,Operators!$O$2:$O$1001,"Signed",Operators!$B$2:$B$1001,"&lt;&gt;EXAMPLE*")+COUNTIFS(Operators!$C$2:$C$1001,A43,Operators!$O$2:$O$1001,"Filmed",Operators!$B$2:$B$1001,"&lt;&gt;EXAMPLE*")+COUNTIFS(Operators!$C$2:$C$1001,A43,Operators!$O$2:$O$1001,"Live",Operators!$B$2:$B$1001,"&lt;&gt;EXAMPLE*")</f>
        <v>0</v>
      </c>
      <c r="E43" s="12" t="s">
        <v>1118</v>
      </c>
    </row>
    <row r="44" customFormat="false" ht="15" hidden="false" customHeight="false" outlineLevel="0" collapsed="false">
      <c r="A44" s="12" t="s">
        <v>1134</v>
      </c>
      <c r="B44" s="12" t="n">
        <f aca="false">COUNTIFS(Operators!$C$2:$C$1001,A44,Operators!$B$2:$B$1001,"&lt;&gt;EXAMPLE*")</f>
        <v>0</v>
      </c>
      <c r="C44" s="12" t="n">
        <f aca="false">B44-COUNTIFS(Operators!$C$2:$C$1001,A44,Operators!$O$2:$O$1001,"Lead",Operators!$B$2:$B$1001,"&lt;&gt;EXAMPLE*")-COUNTIFS(Operators!$C$2:$C$1001,A44,Operators!$O$2:$O$1001,"",Operators!$B$2:$B$1001,"&lt;&gt;EXAMPLE*")-COUNTIFS(Operators!$C$2:$C$1001,A44,Operators!$O$2:$O$1001,"Rejected",Operators!$B$2:$B$1001,"&lt;&gt;EXAMPLE*")-COUNTIFS(Operators!$C$2:$C$1001,A44,Operators!$O$2:$O$1001,"Dormant",Operators!$B$2:$B$1001,"&lt;&gt;EXAMPLE*")</f>
        <v>0</v>
      </c>
      <c r="D44" s="12" t="n">
        <f aca="false">COUNTIFS(Operators!$C$2:$C$1001,A44,Operators!$O$2:$O$1001,"Signed",Operators!$B$2:$B$1001,"&lt;&gt;EXAMPLE*")+COUNTIFS(Operators!$C$2:$C$1001,A44,Operators!$O$2:$O$1001,"Filmed",Operators!$B$2:$B$1001,"&lt;&gt;EXAMPLE*")+COUNTIFS(Operators!$C$2:$C$1001,A44,Operators!$O$2:$O$1001,"Live",Operators!$B$2:$B$1001,"&lt;&gt;EXAMPLE*")</f>
        <v>0</v>
      </c>
      <c r="E44" s="12" t="s">
        <v>1118</v>
      </c>
    </row>
    <row r="45" customFormat="false" ht="15" hidden="false" customHeight="false" outlineLevel="0" collapsed="false">
      <c r="A45" s="12" t="s">
        <v>1135</v>
      </c>
      <c r="B45" s="12" t="n">
        <f aca="false">COUNTIFS(Operators!$C$2:$C$1001,A45,Operators!$B$2:$B$1001,"&lt;&gt;EXAMPLE*")</f>
        <v>0</v>
      </c>
      <c r="C45" s="12" t="n">
        <f aca="false">B45-COUNTIFS(Operators!$C$2:$C$1001,A45,Operators!$O$2:$O$1001,"Lead",Operators!$B$2:$B$1001,"&lt;&gt;EXAMPLE*")-COUNTIFS(Operators!$C$2:$C$1001,A45,Operators!$O$2:$O$1001,"",Operators!$B$2:$B$1001,"&lt;&gt;EXAMPLE*")-COUNTIFS(Operators!$C$2:$C$1001,A45,Operators!$O$2:$O$1001,"Rejected",Operators!$B$2:$B$1001,"&lt;&gt;EXAMPLE*")-COUNTIFS(Operators!$C$2:$C$1001,A45,Operators!$O$2:$O$1001,"Dormant",Operators!$B$2:$B$1001,"&lt;&gt;EXAMPLE*")</f>
        <v>0</v>
      </c>
      <c r="D45" s="12" t="n">
        <f aca="false">COUNTIFS(Operators!$C$2:$C$1001,A45,Operators!$O$2:$O$1001,"Signed",Operators!$B$2:$B$1001,"&lt;&gt;EXAMPLE*")+COUNTIFS(Operators!$C$2:$C$1001,A45,Operators!$O$2:$O$1001,"Filmed",Operators!$B$2:$B$1001,"&lt;&gt;EXAMPLE*")+COUNTIFS(Operators!$C$2:$C$1001,A45,Operators!$O$2:$O$1001,"Live",Operators!$B$2:$B$1001,"&lt;&gt;EXAMPLE*")</f>
        <v>0</v>
      </c>
      <c r="E45" s="12" t="s">
        <v>1118</v>
      </c>
    </row>
    <row r="46" customFormat="false" ht="15" hidden="false" customHeight="false" outlineLevel="0" collapsed="false">
      <c r="A46" s="12" t="s">
        <v>1136</v>
      </c>
      <c r="B46" s="12" t="n">
        <f aca="false">COUNTIFS(Operators!$C$2:$C$1001,A46,Operators!$B$2:$B$1001,"&lt;&gt;EXAMPLE*")</f>
        <v>0</v>
      </c>
      <c r="C46" s="12" t="n">
        <f aca="false">B46-COUNTIFS(Operators!$C$2:$C$1001,A46,Operators!$O$2:$O$1001,"Lead",Operators!$B$2:$B$1001,"&lt;&gt;EXAMPLE*")-COUNTIFS(Operators!$C$2:$C$1001,A46,Operators!$O$2:$O$1001,"",Operators!$B$2:$B$1001,"&lt;&gt;EXAMPLE*")-COUNTIFS(Operators!$C$2:$C$1001,A46,Operators!$O$2:$O$1001,"Rejected",Operators!$B$2:$B$1001,"&lt;&gt;EXAMPLE*")-COUNTIFS(Operators!$C$2:$C$1001,A46,Operators!$O$2:$O$1001,"Dormant",Operators!$B$2:$B$1001,"&lt;&gt;EXAMPLE*")</f>
        <v>0</v>
      </c>
      <c r="D46" s="12" t="n">
        <f aca="false">COUNTIFS(Operators!$C$2:$C$1001,A46,Operators!$O$2:$O$1001,"Signed",Operators!$B$2:$B$1001,"&lt;&gt;EXAMPLE*")+COUNTIFS(Operators!$C$2:$C$1001,A46,Operators!$O$2:$O$1001,"Filmed",Operators!$B$2:$B$1001,"&lt;&gt;EXAMPLE*")+COUNTIFS(Operators!$C$2:$C$1001,A46,Operators!$O$2:$O$1001,"Live",Operators!$B$2:$B$1001,"&lt;&gt;EXAMPLE*")</f>
        <v>0</v>
      </c>
      <c r="E46" s="12" t="s">
        <v>1118</v>
      </c>
    </row>
    <row r="47" customFormat="false" ht="15" hidden="false" customHeight="false" outlineLevel="0" collapsed="false">
      <c r="A47" s="12" t="s">
        <v>1137</v>
      </c>
      <c r="B47" s="12" t="n">
        <f aca="false">COUNTIFS(Operators!$C$2:$C$1001,A47,Operators!$B$2:$B$1001,"&lt;&gt;EXAMPLE*")</f>
        <v>0</v>
      </c>
      <c r="C47" s="12" t="n">
        <f aca="false">B47-COUNTIFS(Operators!$C$2:$C$1001,A47,Operators!$O$2:$O$1001,"Lead",Operators!$B$2:$B$1001,"&lt;&gt;EXAMPLE*")-COUNTIFS(Operators!$C$2:$C$1001,A47,Operators!$O$2:$O$1001,"",Operators!$B$2:$B$1001,"&lt;&gt;EXAMPLE*")-COUNTIFS(Operators!$C$2:$C$1001,A47,Operators!$O$2:$O$1001,"Rejected",Operators!$B$2:$B$1001,"&lt;&gt;EXAMPLE*")-COUNTIFS(Operators!$C$2:$C$1001,A47,Operators!$O$2:$O$1001,"Dormant",Operators!$B$2:$B$1001,"&lt;&gt;EXAMPLE*")</f>
        <v>0</v>
      </c>
      <c r="D47" s="12" t="n">
        <f aca="false">COUNTIFS(Operators!$C$2:$C$1001,A47,Operators!$O$2:$O$1001,"Signed",Operators!$B$2:$B$1001,"&lt;&gt;EXAMPLE*")+COUNTIFS(Operators!$C$2:$C$1001,A47,Operators!$O$2:$O$1001,"Filmed",Operators!$B$2:$B$1001,"&lt;&gt;EXAMPLE*")+COUNTIFS(Operators!$C$2:$C$1001,A47,Operators!$O$2:$O$1001,"Live",Operators!$B$2:$B$1001,"&lt;&gt;EXAMPLE*")</f>
        <v>0</v>
      </c>
      <c r="E47" s="12" t="s">
        <v>1118</v>
      </c>
    </row>
    <row r="48" customFormat="false" ht="15" hidden="false" customHeight="false" outlineLevel="0" collapsed="false">
      <c r="A48" s="12" t="s">
        <v>1138</v>
      </c>
      <c r="B48" s="12" t="n">
        <f aca="false">COUNTIFS(Operators!$C$2:$C$1001,A48,Operators!$B$2:$B$1001,"&lt;&gt;EXAMPLE*")</f>
        <v>0</v>
      </c>
      <c r="C48" s="12" t="n">
        <f aca="false">B48-COUNTIFS(Operators!$C$2:$C$1001,A48,Operators!$O$2:$O$1001,"Lead",Operators!$B$2:$B$1001,"&lt;&gt;EXAMPLE*")-COUNTIFS(Operators!$C$2:$C$1001,A48,Operators!$O$2:$O$1001,"",Operators!$B$2:$B$1001,"&lt;&gt;EXAMPLE*")-COUNTIFS(Operators!$C$2:$C$1001,A48,Operators!$O$2:$O$1001,"Rejected",Operators!$B$2:$B$1001,"&lt;&gt;EXAMPLE*")-COUNTIFS(Operators!$C$2:$C$1001,A48,Operators!$O$2:$O$1001,"Dormant",Operators!$B$2:$B$1001,"&lt;&gt;EXAMPLE*")</f>
        <v>0</v>
      </c>
      <c r="D48" s="12" t="n">
        <f aca="false">COUNTIFS(Operators!$C$2:$C$1001,A48,Operators!$O$2:$O$1001,"Signed",Operators!$B$2:$B$1001,"&lt;&gt;EXAMPLE*")+COUNTIFS(Operators!$C$2:$C$1001,A48,Operators!$O$2:$O$1001,"Filmed",Operators!$B$2:$B$1001,"&lt;&gt;EXAMPLE*")+COUNTIFS(Operators!$C$2:$C$1001,A48,Operators!$O$2:$O$1001,"Live",Operators!$B$2:$B$1001,"&lt;&gt;EXAMPLE*")</f>
        <v>0</v>
      </c>
      <c r="E48" s="12" t="s">
        <v>1118</v>
      </c>
    </row>
    <row r="49" customFormat="false" ht="15" hidden="false" customHeight="false" outlineLevel="0" collapsed="false">
      <c r="A49" s="12" t="s">
        <v>1139</v>
      </c>
      <c r="B49" s="12" t="n">
        <f aca="false">COUNTIFS(Operators!$C$2:$C$1001,A49,Operators!$B$2:$B$1001,"&lt;&gt;EXAMPLE*")</f>
        <v>0</v>
      </c>
      <c r="C49" s="12" t="n">
        <f aca="false">B49-COUNTIFS(Operators!$C$2:$C$1001,A49,Operators!$O$2:$O$1001,"Lead",Operators!$B$2:$B$1001,"&lt;&gt;EXAMPLE*")-COUNTIFS(Operators!$C$2:$C$1001,A49,Operators!$O$2:$O$1001,"",Operators!$B$2:$B$1001,"&lt;&gt;EXAMPLE*")-COUNTIFS(Operators!$C$2:$C$1001,A49,Operators!$O$2:$O$1001,"Rejected",Operators!$B$2:$B$1001,"&lt;&gt;EXAMPLE*")-COUNTIFS(Operators!$C$2:$C$1001,A49,Operators!$O$2:$O$1001,"Dormant",Operators!$B$2:$B$1001,"&lt;&gt;EXAMPLE*")</f>
        <v>0</v>
      </c>
      <c r="D49" s="12" t="n">
        <f aca="false">COUNTIFS(Operators!$C$2:$C$1001,A49,Operators!$O$2:$O$1001,"Signed",Operators!$B$2:$B$1001,"&lt;&gt;EXAMPLE*")+COUNTIFS(Operators!$C$2:$C$1001,A49,Operators!$O$2:$O$1001,"Filmed",Operators!$B$2:$B$1001,"&lt;&gt;EXAMPLE*")+COUNTIFS(Operators!$C$2:$C$1001,A49,Operators!$O$2:$O$1001,"Live",Operators!$B$2:$B$1001,"&lt;&gt;EXAMPLE*")</f>
        <v>0</v>
      </c>
      <c r="E49" s="12" t="s">
        <v>1118</v>
      </c>
    </row>
    <row r="50" customFormat="false" ht="15" hidden="false" customHeight="false" outlineLevel="0" collapsed="false">
      <c r="A50" s="12" t="s">
        <v>1140</v>
      </c>
      <c r="B50" s="12" t="n">
        <f aca="false">COUNTIFS(Operators!$C$2:$C$1001,A50,Operators!$B$2:$B$1001,"&lt;&gt;EXAMPLE*")</f>
        <v>0</v>
      </c>
      <c r="C50" s="12" t="n">
        <f aca="false">B50-COUNTIFS(Operators!$C$2:$C$1001,A50,Operators!$O$2:$O$1001,"Lead",Operators!$B$2:$B$1001,"&lt;&gt;EXAMPLE*")-COUNTIFS(Operators!$C$2:$C$1001,A50,Operators!$O$2:$O$1001,"",Operators!$B$2:$B$1001,"&lt;&gt;EXAMPLE*")-COUNTIFS(Operators!$C$2:$C$1001,A50,Operators!$O$2:$O$1001,"Rejected",Operators!$B$2:$B$1001,"&lt;&gt;EXAMPLE*")-COUNTIFS(Operators!$C$2:$C$1001,A50,Operators!$O$2:$O$1001,"Dormant",Operators!$B$2:$B$1001,"&lt;&gt;EXAMPLE*")</f>
        <v>0</v>
      </c>
      <c r="D50" s="12" t="n">
        <f aca="false">COUNTIFS(Operators!$C$2:$C$1001,A50,Operators!$O$2:$O$1001,"Signed",Operators!$B$2:$B$1001,"&lt;&gt;EXAMPLE*")+COUNTIFS(Operators!$C$2:$C$1001,A50,Operators!$O$2:$O$1001,"Filmed",Operators!$B$2:$B$1001,"&lt;&gt;EXAMPLE*")+COUNTIFS(Operators!$C$2:$C$1001,A50,Operators!$O$2:$O$1001,"Live",Operators!$B$2:$B$1001,"&lt;&gt;EXAMPLE*")</f>
        <v>0</v>
      </c>
      <c r="E50" s="12" t="s">
        <v>1118</v>
      </c>
    </row>
    <row r="51" customFormat="false" ht="15" hidden="false" customHeight="false" outlineLevel="0" collapsed="false">
      <c r="A51" s="12" t="s">
        <v>1141</v>
      </c>
      <c r="B51" s="12" t="n">
        <f aca="false">COUNTIFS(Operators!$C$2:$C$1001,A51,Operators!$B$2:$B$1001,"&lt;&gt;EXAMPLE*")</f>
        <v>0</v>
      </c>
      <c r="C51" s="12" t="n">
        <f aca="false">B51-COUNTIFS(Operators!$C$2:$C$1001,A51,Operators!$O$2:$O$1001,"Lead",Operators!$B$2:$B$1001,"&lt;&gt;EXAMPLE*")-COUNTIFS(Operators!$C$2:$C$1001,A51,Operators!$O$2:$O$1001,"",Operators!$B$2:$B$1001,"&lt;&gt;EXAMPLE*")-COUNTIFS(Operators!$C$2:$C$1001,A51,Operators!$O$2:$O$1001,"Rejected",Operators!$B$2:$B$1001,"&lt;&gt;EXAMPLE*")-COUNTIFS(Operators!$C$2:$C$1001,A51,Operators!$O$2:$O$1001,"Dormant",Operators!$B$2:$B$1001,"&lt;&gt;EXAMPLE*")</f>
        <v>0</v>
      </c>
      <c r="D51" s="12" t="n">
        <f aca="false">COUNTIFS(Operators!$C$2:$C$1001,A51,Operators!$O$2:$O$1001,"Signed",Operators!$B$2:$B$1001,"&lt;&gt;EXAMPLE*")+COUNTIFS(Operators!$C$2:$C$1001,A51,Operators!$O$2:$O$1001,"Filmed",Operators!$B$2:$B$1001,"&lt;&gt;EXAMPLE*")+COUNTIFS(Operators!$C$2:$C$1001,A51,Operators!$O$2:$O$1001,"Live",Operators!$B$2:$B$1001,"&lt;&gt;EXAMPLE*")</f>
        <v>0</v>
      </c>
      <c r="E51" s="12" t="s">
        <v>1118</v>
      </c>
    </row>
    <row r="52" customFormat="false" ht="15" hidden="false" customHeight="false" outlineLevel="0" collapsed="false">
      <c r="A52" s="12" t="s">
        <v>1142</v>
      </c>
      <c r="B52" s="12" t="n">
        <f aca="false">COUNTIFS(Operators!$C$2:$C$1001,A52,Operators!$B$2:$B$1001,"&lt;&gt;EXAMPLE*")</f>
        <v>0</v>
      </c>
      <c r="C52" s="12" t="n">
        <f aca="false">B52-COUNTIFS(Operators!$C$2:$C$1001,A52,Operators!$O$2:$O$1001,"Lead",Operators!$B$2:$B$1001,"&lt;&gt;EXAMPLE*")-COUNTIFS(Operators!$C$2:$C$1001,A52,Operators!$O$2:$O$1001,"",Operators!$B$2:$B$1001,"&lt;&gt;EXAMPLE*")-COUNTIFS(Operators!$C$2:$C$1001,A52,Operators!$O$2:$O$1001,"Rejected",Operators!$B$2:$B$1001,"&lt;&gt;EXAMPLE*")-COUNTIFS(Operators!$C$2:$C$1001,A52,Operators!$O$2:$O$1001,"Dormant",Operators!$B$2:$B$1001,"&lt;&gt;EXAMPLE*")</f>
        <v>0</v>
      </c>
      <c r="D52" s="12" t="n">
        <f aca="false">COUNTIFS(Operators!$C$2:$C$1001,A52,Operators!$O$2:$O$1001,"Signed",Operators!$B$2:$B$1001,"&lt;&gt;EXAMPLE*")+COUNTIFS(Operators!$C$2:$C$1001,A52,Operators!$O$2:$O$1001,"Filmed",Operators!$B$2:$B$1001,"&lt;&gt;EXAMPLE*")+COUNTIFS(Operators!$C$2:$C$1001,A52,Operators!$O$2:$O$1001,"Live",Operators!$B$2:$B$1001,"&lt;&gt;EXAMPLE*")</f>
        <v>0</v>
      </c>
      <c r="E52" s="12" t="s">
        <v>1118</v>
      </c>
    </row>
    <row r="53" customFormat="false" ht="15" hidden="false" customHeight="false" outlineLevel="0" collapsed="false">
      <c r="A53" s="12" t="s">
        <v>1143</v>
      </c>
      <c r="B53" s="12" t="n">
        <f aca="false">COUNTIFS(Operators!$C$2:$C$1001,A53,Operators!$B$2:$B$1001,"&lt;&gt;EXAMPLE*")</f>
        <v>0</v>
      </c>
      <c r="C53" s="12" t="n">
        <f aca="false">B53-COUNTIFS(Operators!$C$2:$C$1001,A53,Operators!$O$2:$O$1001,"Lead",Operators!$B$2:$B$1001,"&lt;&gt;EXAMPLE*")-COUNTIFS(Operators!$C$2:$C$1001,A53,Operators!$O$2:$O$1001,"",Operators!$B$2:$B$1001,"&lt;&gt;EXAMPLE*")-COUNTIFS(Operators!$C$2:$C$1001,A53,Operators!$O$2:$O$1001,"Rejected",Operators!$B$2:$B$1001,"&lt;&gt;EXAMPLE*")-COUNTIFS(Operators!$C$2:$C$1001,A53,Operators!$O$2:$O$1001,"Dormant",Operators!$B$2:$B$1001,"&lt;&gt;EXAMPLE*")</f>
        <v>0</v>
      </c>
      <c r="D53" s="12" t="n">
        <f aca="false">COUNTIFS(Operators!$C$2:$C$1001,A53,Operators!$O$2:$O$1001,"Signed",Operators!$B$2:$B$1001,"&lt;&gt;EXAMPLE*")+COUNTIFS(Operators!$C$2:$C$1001,A53,Operators!$O$2:$O$1001,"Filmed",Operators!$B$2:$B$1001,"&lt;&gt;EXAMPLE*")+COUNTIFS(Operators!$C$2:$C$1001,A53,Operators!$O$2:$O$1001,"Live",Operators!$B$2:$B$1001,"&lt;&gt;EXAMPLE*")</f>
        <v>0</v>
      </c>
      <c r="E53" s="12" t="s">
        <v>1118</v>
      </c>
    </row>
    <row r="54" customFormat="false" ht="15" hidden="false" customHeight="false" outlineLevel="0" collapsed="false">
      <c r="A54" s="12" t="s">
        <v>1144</v>
      </c>
      <c r="B54" s="12" t="n">
        <f aca="false">COUNTIFS(Operators!$C$2:$C$1001,A54,Operators!$B$2:$B$1001,"&lt;&gt;EXAMPLE*")</f>
        <v>0</v>
      </c>
      <c r="C54" s="12" t="n">
        <f aca="false">B54-COUNTIFS(Operators!$C$2:$C$1001,A54,Operators!$O$2:$O$1001,"Lead",Operators!$B$2:$B$1001,"&lt;&gt;EXAMPLE*")-COUNTIFS(Operators!$C$2:$C$1001,A54,Operators!$O$2:$O$1001,"",Operators!$B$2:$B$1001,"&lt;&gt;EXAMPLE*")-COUNTIFS(Operators!$C$2:$C$1001,A54,Operators!$O$2:$O$1001,"Rejected",Operators!$B$2:$B$1001,"&lt;&gt;EXAMPLE*")-COUNTIFS(Operators!$C$2:$C$1001,A54,Operators!$O$2:$O$1001,"Dormant",Operators!$B$2:$B$1001,"&lt;&gt;EXAMPLE*")</f>
        <v>0</v>
      </c>
      <c r="D54" s="12" t="n">
        <f aca="false">COUNTIFS(Operators!$C$2:$C$1001,A54,Operators!$O$2:$O$1001,"Signed",Operators!$B$2:$B$1001,"&lt;&gt;EXAMPLE*")+COUNTIFS(Operators!$C$2:$C$1001,A54,Operators!$O$2:$O$1001,"Filmed",Operators!$B$2:$B$1001,"&lt;&gt;EXAMPLE*")+COUNTIFS(Operators!$C$2:$C$1001,A54,Operators!$O$2:$O$1001,"Live",Operators!$B$2:$B$1001,"&lt;&gt;EXAMPLE*")</f>
        <v>0</v>
      </c>
      <c r="E54" s="12" t="s">
        <v>1118</v>
      </c>
    </row>
    <row r="55" customFormat="false" ht="15" hidden="false" customHeight="false" outlineLevel="0" collapsed="false">
      <c r="A55" s="12" t="s">
        <v>1145</v>
      </c>
      <c r="B55" s="12" t="n">
        <f aca="false">COUNTIFS(Operators!$C$2:$C$1001,A55,Operators!$B$2:$B$1001,"&lt;&gt;EXAMPLE*")</f>
        <v>0</v>
      </c>
      <c r="C55" s="12" t="n">
        <f aca="false">B55-COUNTIFS(Operators!$C$2:$C$1001,A55,Operators!$O$2:$O$1001,"Lead",Operators!$B$2:$B$1001,"&lt;&gt;EXAMPLE*")-COUNTIFS(Operators!$C$2:$C$1001,A55,Operators!$O$2:$O$1001,"",Operators!$B$2:$B$1001,"&lt;&gt;EXAMPLE*")-COUNTIFS(Operators!$C$2:$C$1001,A55,Operators!$O$2:$O$1001,"Rejected",Operators!$B$2:$B$1001,"&lt;&gt;EXAMPLE*")-COUNTIFS(Operators!$C$2:$C$1001,A55,Operators!$O$2:$O$1001,"Dormant",Operators!$B$2:$B$1001,"&lt;&gt;EXAMPLE*")</f>
        <v>0</v>
      </c>
      <c r="D55" s="12" t="n">
        <f aca="false">COUNTIFS(Operators!$C$2:$C$1001,A55,Operators!$O$2:$O$1001,"Signed",Operators!$B$2:$B$1001,"&lt;&gt;EXAMPLE*")+COUNTIFS(Operators!$C$2:$C$1001,A55,Operators!$O$2:$O$1001,"Filmed",Operators!$B$2:$B$1001,"&lt;&gt;EXAMPLE*")+COUNTIFS(Operators!$C$2:$C$1001,A55,Operators!$O$2:$O$1001,"Live",Operators!$B$2:$B$1001,"&lt;&gt;EXAMPLE*")</f>
        <v>0</v>
      </c>
      <c r="E55" s="12" t="s">
        <v>1118</v>
      </c>
    </row>
    <row r="56" customFormat="false" ht="15" hidden="false" customHeight="false" outlineLevel="0" collapsed="false">
      <c r="A56" s="12" t="s">
        <v>1146</v>
      </c>
      <c r="B56" s="12" t="n">
        <f aca="false">COUNTIFS(Operators!$C$2:$C$1001,A56,Operators!$B$2:$B$1001,"&lt;&gt;EXAMPLE*")</f>
        <v>0</v>
      </c>
      <c r="C56" s="12" t="n">
        <f aca="false">B56-COUNTIFS(Operators!$C$2:$C$1001,A56,Operators!$O$2:$O$1001,"Lead",Operators!$B$2:$B$1001,"&lt;&gt;EXAMPLE*")-COUNTIFS(Operators!$C$2:$C$1001,A56,Operators!$O$2:$O$1001,"",Operators!$B$2:$B$1001,"&lt;&gt;EXAMPLE*")-COUNTIFS(Operators!$C$2:$C$1001,A56,Operators!$O$2:$O$1001,"Rejected",Operators!$B$2:$B$1001,"&lt;&gt;EXAMPLE*")-COUNTIFS(Operators!$C$2:$C$1001,A56,Operators!$O$2:$O$1001,"Dormant",Operators!$B$2:$B$1001,"&lt;&gt;EXAMPLE*")</f>
        <v>0</v>
      </c>
      <c r="D56" s="12" t="n">
        <f aca="false">COUNTIFS(Operators!$C$2:$C$1001,A56,Operators!$O$2:$O$1001,"Signed",Operators!$B$2:$B$1001,"&lt;&gt;EXAMPLE*")+COUNTIFS(Operators!$C$2:$C$1001,A56,Operators!$O$2:$O$1001,"Filmed",Operators!$B$2:$B$1001,"&lt;&gt;EXAMPLE*")+COUNTIFS(Operators!$C$2:$C$1001,A56,Operators!$O$2:$O$1001,"Live",Operators!$B$2:$B$1001,"&lt;&gt;EXAMPLE*")</f>
        <v>0</v>
      </c>
      <c r="E56" s="12" t="s">
        <v>1118</v>
      </c>
    </row>
    <row r="57" customFormat="false" ht="15" hidden="false" customHeight="false" outlineLevel="0" collapsed="false">
      <c r="A57" s="12" t="s">
        <v>1147</v>
      </c>
      <c r="B57" s="12" t="n">
        <f aca="false">COUNTIFS(Operators!$C$2:$C$1001,A57,Operators!$B$2:$B$1001,"&lt;&gt;EXAMPLE*")</f>
        <v>0</v>
      </c>
      <c r="C57" s="12" t="n">
        <f aca="false">B57-COUNTIFS(Operators!$C$2:$C$1001,A57,Operators!$O$2:$O$1001,"Lead",Operators!$B$2:$B$1001,"&lt;&gt;EXAMPLE*")-COUNTIFS(Operators!$C$2:$C$1001,A57,Operators!$O$2:$O$1001,"",Operators!$B$2:$B$1001,"&lt;&gt;EXAMPLE*")-COUNTIFS(Operators!$C$2:$C$1001,A57,Operators!$O$2:$O$1001,"Rejected",Operators!$B$2:$B$1001,"&lt;&gt;EXAMPLE*")-COUNTIFS(Operators!$C$2:$C$1001,A57,Operators!$O$2:$O$1001,"Dormant",Operators!$B$2:$B$1001,"&lt;&gt;EXAMPLE*")</f>
        <v>0</v>
      </c>
      <c r="D57" s="12" t="n">
        <f aca="false">COUNTIFS(Operators!$C$2:$C$1001,A57,Operators!$O$2:$O$1001,"Signed",Operators!$B$2:$B$1001,"&lt;&gt;EXAMPLE*")+COUNTIFS(Operators!$C$2:$C$1001,A57,Operators!$O$2:$O$1001,"Filmed",Operators!$B$2:$B$1001,"&lt;&gt;EXAMPLE*")+COUNTIFS(Operators!$C$2:$C$1001,A57,Operators!$O$2:$O$1001,"Live",Operators!$B$2:$B$1001,"&lt;&gt;EXAMPLE*")</f>
        <v>0</v>
      </c>
      <c r="E57" s="12" t="s">
        <v>1148</v>
      </c>
    </row>
    <row r="58" customFormat="false" ht="15" hidden="false" customHeight="false" outlineLevel="0" collapsed="false">
      <c r="A58" s="12" t="s">
        <v>1149</v>
      </c>
      <c r="B58" s="12" t="n">
        <f aca="false">COUNTIFS(Operators!$C$2:$C$1001,A58,Operators!$B$2:$B$1001,"&lt;&gt;EXAMPLE*")</f>
        <v>0</v>
      </c>
      <c r="C58" s="12" t="n">
        <f aca="false">B58-COUNTIFS(Operators!$C$2:$C$1001,A58,Operators!$O$2:$O$1001,"Lead",Operators!$B$2:$B$1001,"&lt;&gt;EXAMPLE*")-COUNTIFS(Operators!$C$2:$C$1001,A58,Operators!$O$2:$O$1001,"",Operators!$B$2:$B$1001,"&lt;&gt;EXAMPLE*")-COUNTIFS(Operators!$C$2:$C$1001,A58,Operators!$O$2:$O$1001,"Rejected",Operators!$B$2:$B$1001,"&lt;&gt;EXAMPLE*")-COUNTIFS(Operators!$C$2:$C$1001,A58,Operators!$O$2:$O$1001,"Dormant",Operators!$B$2:$B$1001,"&lt;&gt;EXAMPLE*")</f>
        <v>0</v>
      </c>
      <c r="D58" s="12" t="n">
        <f aca="false">COUNTIFS(Operators!$C$2:$C$1001,A58,Operators!$O$2:$O$1001,"Signed",Operators!$B$2:$B$1001,"&lt;&gt;EXAMPLE*")+COUNTIFS(Operators!$C$2:$C$1001,A58,Operators!$O$2:$O$1001,"Filmed",Operators!$B$2:$B$1001,"&lt;&gt;EXAMPLE*")+COUNTIFS(Operators!$C$2:$C$1001,A58,Operators!$O$2:$O$1001,"Live",Operators!$B$2:$B$1001,"&lt;&gt;EXAMPLE*")</f>
        <v>0</v>
      </c>
      <c r="E58" s="12" t="s">
        <v>1148</v>
      </c>
    </row>
    <row r="59" customFormat="false" ht="15" hidden="false" customHeight="false" outlineLevel="0" collapsed="false">
      <c r="A59" s="12" t="s">
        <v>1150</v>
      </c>
      <c r="B59" s="12" t="n">
        <f aca="false">COUNTIFS(Operators!$C$2:$C$1001,A59,Operators!$B$2:$B$1001,"&lt;&gt;EXAMPLE*")</f>
        <v>0</v>
      </c>
      <c r="C59" s="12" t="n">
        <f aca="false">B59-COUNTIFS(Operators!$C$2:$C$1001,A59,Operators!$O$2:$O$1001,"Lead",Operators!$B$2:$B$1001,"&lt;&gt;EXAMPLE*")-COUNTIFS(Operators!$C$2:$C$1001,A59,Operators!$O$2:$O$1001,"",Operators!$B$2:$B$1001,"&lt;&gt;EXAMPLE*")-COUNTIFS(Operators!$C$2:$C$1001,A59,Operators!$O$2:$O$1001,"Rejected",Operators!$B$2:$B$1001,"&lt;&gt;EXAMPLE*")-COUNTIFS(Operators!$C$2:$C$1001,A59,Operators!$O$2:$O$1001,"Dormant",Operators!$B$2:$B$1001,"&lt;&gt;EXAMPLE*")</f>
        <v>0</v>
      </c>
      <c r="D59" s="12" t="n">
        <f aca="false">COUNTIFS(Operators!$C$2:$C$1001,A59,Operators!$O$2:$O$1001,"Signed",Operators!$B$2:$B$1001,"&lt;&gt;EXAMPLE*")+COUNTIFS(Operators!$C$2:$C$1001,A59,Operators!$O$2:$O$1001,"Filmed",Operators!$B$2:$B$1001,"&lt;&gt;EXAMPLE*")+COUNTIFS(Operators!$C$2:$C$1001,A59,Operators!$O$2:$O$1001,"Live",Operators!$B$2:$B$1001,"&lt;&gt;EXAMPLE*")</f>
        <v>0</v>
      </c>
      <c r="E59" s="12" t="s">
        <v>1148</v>
      </c>
    </row>
    <row r="60" customFormat="false" ht="15" hidden="false" customHeight="false" outlineLevel="0" collapsed="false">
      <c r="A60" s="12" t="s">
        <v>1151</v>
      </c>
      <c r="B60" s="12" t="n">
        <f aca="false">COUNTIFS(Operators!$C$2:$C$1001,A60,Operators!$B$2:$B$1001,"&lt;&gt;EXAMPLE*")</f>
        <v>0</v>
      </c>
      <c r="C60" s="12" t="n">
        <f aca="false">B60-COUNTIFS(Operators!$C$2:$C$1001,A60,Operators!$O$2:$O$1001,"Lead",Operators!$B$2:$B$1001,"&lt;&gt;EXAMPLE*")-COUNTIFS(Operators!$C$2:$C$1001,A60,Operators!$O$2:$O$1001,"",Operators!$B$2:$B$1001,"&lt;&gt;EXAMPLE*")-COUNTIFS(Operators!$C$2:$C$1001,A60,Operators!$O$2:$O$1001,"Rejected",Operators!$B$2:$B$1001,"&lt;&gt;EXAMPLE*")-COUNTIFS(Operators!$C$2:$C$1001,A60,Operators!$O$2:$O$1001,"Dormant",Operators!$B$2:$B$1001,"&lt;&gt;EXAMPLE*")</f>
        <v>0</v>
      </c>
      <c r="D60" s="12" t="n">
        <f aca="false">COUNTIFS(Operators!$C$2:$C$1001,A60,Operators!$O$2:$O$1001,"Signed",Operators!$B$2:$B$1001,"&lt;&gt;EXAMPLE*")+COUNTIFS(Operators!$C$2:$C$1001,A60,Operators!$O$2:$O$1001,"Filmed",Operators!$B$2:$B$1001,"&lt;&gt;EXAMPLE*")+COUNTIFS(Operators!$C$2:$C$1001,A60,Operators!$O$2:$O$1001,"Live",Operators!$B$2:$B$1001,"&lt;&gt;EXAMPLE*")</f>
        <v>0</v>
      </c>
      <c r="E60" s="12" t="s">
        <v>1148</v>
      </c>
    </row>
    <row r="61" customFormat="false" ht="15" hidden="false" customHeight="false" outlineLevel="0" collapsed="false">
      <c r="A61" s="12" t="s">
        <v>1152</v>
      </c>
      <c r="B61" s="12" t="n">
        <f aca="false">COUNTIFS(Operators!$C$2:$C$1001,A61,Operators!$B$2:$B$1001,"&lt;&gt;EXAMPLE*")</f>
        <v>0</v>
      </c>
      <c r="C61" s="12" t="n">
        <f aca="false">B61-COUNTIFS(Operators!$C$2:$C$1001,A61,Operators!$O$2:$O$1001,"Lead",Operators!$B$2:$B$1001,"&lt;&gt;EXAMPLE*")-COUNTIFS(Operators!$C$2:$C$1001,A61,Operators!$O$2:$O$1001,"",Operators!$B$2:$B$1001,"&lt;&gt;EXAMPLE*")-COUNTIFS(Operators!$C$2:$C$1001,A61,Operators!$O$2:$O$1001,"Rejected",Operators!$B$2:$B$1001,"&lt;&gt;EXAMPLE*")-COUNTIFS(Operators!$C$2:$C$1001,A61,Operators!$O$2:$O$1001,"Dormant",Operators!$B$2:$B$1001,"&lt;&gt;EXAMPLE*")</f>
        <v>0</v>
      </c>
      <c r="D61" s="12" t="n">
        <f aca="false">COUNTIFS(Operators!$C$2:$C$1001,A61,Operators!$O$2:$O$1001,"Signed",Operators!$B$2:$B$1001,"&lt;&gt;EXAMPLE*")+COUNTIFS(Operators!$C$2:$C$1001,A61,Operators!$O$2:$O$1001,"Filmed",Operators!$B$2:$B$1001,"&lt;&gt;EXAMPLE*")+COUNTIFS(Operators!$C$2:$C$1001,A61,Operators!$O$2:$O$1001,"Live",Operators!$B$2:$B$1001,"&lt;&gt;EXAMPLE*")</f>
        <v>0</v>
      </c>
      <c r="E61" s="12" t="s">
        <v>1148</v>
      </c>
    </row>
    <row r="62" customFormat="false" ht="15" hidden="false" customHeight="false" outlineLevel="0" collapsed="false">
      <c r="A62" s="12" t="s">
        <v>1153</v>
      </c>
      <c r="B62" s="12" t="n">
        <f aca="false">COUNTIFS(Operators!$C$2:$C$1001,A62,Operators!$B$2:$B$1001,"&lt;&gt;EXAMPLE*")</f>
        <v>0</v>
      </c>
      <c r="C62" s="12" t="n">
        <f aca="false">B62-COUNTIFS(Operators!$C$2:$C$1001,A62,Operators!$O$2:$O$1001,"Lead",Operators!$B$2:$B$1001,"&lt;&gt;EXAMPLE*")-COUNTIFS(Operators!$C$2:$C$1001,A62,Operators!$O$2:$O$1001,"",Operators!$B$2:$B$1001,"&lt;&gt;EXAMPLE*")-COUNTIFS(Operators!$C$2:$C$1001,A62,Operators!$O$2:$O$1001,"Rejected",Operators!$B$2:$B$1001,"&lt;&gt;EXAMPLE*")-COUNTIFS(Operators!$C$2:$C$1001,A62,Operators!$O$2:$O$1001,"Dormant",Operators!$B$2:$B$1001,"&lt;&gt;EXAMPLE*")</f>
        <v>0</v>
      </c>
      <c r="D62" s="12" t="n">
        <f aca="false">COUNTIFS(Operators!$C$2:$C$1001,A62,Operators!$O$2:$O$1001,"Signed",Operators!$B$2:$B$1001,"&lt;&gt;EXAMPLE*")+COUNTIFS(Operators!$C$2:$C$1001,A62,Operators!$O$2:$O$1001,"Filmed",Operators!$B$2:$B$1001,"&lt;&gt;EXAMPLE*")+COUNTIFS(Operators!$C$2:$C$1001,A62,Operators!$O$2:$O$1001,"Live",Operators!$B$2:$B$1001,"&lt;&gt;EXAMPLE*")</f>
        <v>0</v>
      </c>
      <c r="E62" s="12" t="s">
        <v>1148</v>
      </c>
    </row>
    <row r="63" customFormat="false" ht="15" hidden="false" customHeight="false" outlineLevel="0" collapsed="false">
      <c r="A63" s="12" t="s">
        <v>1154</v>
      </c>
      <c r="B63" s="12" t="n">
        <f aca="false">COUNTIFS(Operators!$C$2:$C$1001,A63,Operators!$B$2:$B$1001,"&lt;&gt;EXAMPLE*")</f>
        <v>0</v>
      </c>
      <c r="C63" s="12" t="n">
        <f aca="false">B63-COUNTIFS(Operators!$C$2:$C$1001,A63,Operators!$O$2:$O$1001,"Lead",Operators!$B$2:$B$1001,"&lt;&gt;EXAMPLE*")-COUNTIFS(Operators!$C$2:$C$1001,A63,Operators!$O$2:$O$1001,"",Operators!$B$2:$B$1001,"&lt;&gt;EXAMPLE*")-COUNTIFS(Operators!$C$2:$C$1001,A63,Operators!$O$2:$O$1001,"Rejected",Operators!$B$2:$B$1001,"&lt;&gt;EXAMPLE*")-COUNTIFS(Operators!$C$2:$C$1001,A63,Operators!$O$2:$O$1001,"Dormant",Operators!$B$2:$B$1001,"&lt;&gt;EXAMPLE*")</f>
        <v>0</v>
      </c>
      <c r="D63" s="12" t="n">
        <f aca="false">COUNTIFS(Operators!$C$2:$C$1001,A63,Operators!$O$2:$O$1001,"Signed",Operators!$B$2:$B$1001,"&lt;&gt;EXAMPLE*")+COUNTIFS(Operators!$C$2:$C$1001,A63,Operators!$O$2:$O$1001,"Filmed",Operators!$B$2:$B$1001,"&lt;&gt;EXAMPLE*")+COUNTIFS(Operators!$C$2:$C$1001,A63,Operators!$O$2:$O$1001,"Live",Operators!$B$2:$B$1001,"&lt;&gt;EXAMPLE*")</f>
        <v>0</v>
      </c>
      <c r="E63" s="12" t="s">
        <v>1148</v>
      </c>
    </row>
    <row r="64" customFormat="false" ht="15" hidden="false" customHeight="false" outlineLevel="0" collapsed="false">
      <c r="A64" s="12" t="s">
        <v>1155</v>
      </c>
      <c r="B64" s="12" t="n">
        <f aca="false">COUNTIFS(Operators!$C$2:$C$1001,A64,Operators!$B$2:$B$1001,"&lt;&gt;EXAMPLE*")</f>
        <v>0</v>
      </c>
      <c r="C64" s="12" t="n">
        <f aca="false">B64-COUNTIFS(Operators!$C$2:$C$1001,A64,Operators!$O$2:$O$1001,"Lead",Operators!$B$2:$B$1001,"&lt;&gt;EXAMPLE*")-COUNTIFS(Operators!$C$2:$C$1001,A64,Operators!$O$2:$O$1001,"",Operators!$B$2:$B$1001,"&lt;&gt;EXAMPLE*")-COUNTIFS(Operators!$C$2:$C$1001,A64,Operators!$O$2:$O$1001,"Rejected",Operators!$B$2:$B$1001,"&lt;&gt;EXAMPLE*")-COUNTIFS(Operators!$C$2:$C$1001,A64,Operators!$O$2:$O$1001,"Dormant",Operators!$B$2:$B$1001,"&lt;&gt;EXAMPLE*")</f>
        <v>0</v>
      </c>
      <c r="D64" s="12" t="n">
        <f aca="false">COUNTIFS(Operators!$C$2:$C$1001,A64,Operators!$O$2:$O$1001,"Signed",Operators!$B$2:$B$1001,"&lt;&gt;EXAMPLE*")+COUNTIFS(Operators!$C$2:$C$1001,A64,Operators!$O$2:$O$1001,"Filmed",Operators!$B$2:$B$1001,"&lt;&gt;EXAMPLE*")+COUNTIFS(Operators!$C$2:$C$1001,A64,Operators!$O$2:$O$1001,"Live",Operators!$B$2:$B$1001,"&lt;&gt;EXAMPLE*")</f>
        <v>0</v>
      </c>
      <c r="E64" s="12" t="s">
        <v>1148</v>
      </c>
    </row>
    <row r="66" customFormat="false" ht="15" hidden="false" customHeight="false" outlineLevel="0" collapsed="false">
      <c r="A66" s="16" t="s">
        <v>1156</v>
      </c>
    </row>
    <row r="67" customFormat="false" ht="15" hidden="false" customHeight="false" outlineLevel="0" collapsed="false">
      <c r="A67" s="6" t="s">
        <v>1157</v>
      </c>
      <c r="B67" s="6" t="s">
        <v>1096</v>
      </c>
      <c r="C67" s="6" t="s">
        <v>1158</v>
      </c>
    </row>
    <row r="68" customFormat="false" ht="15" hidden="false" customHeight="false" outlineLevel="0" collapsed="false">
      <c r="A68" s="12" t="s">
        <v>52</v>
      </c>
      <c r="B68" s="12" t="n">
        <f aca="false">COUNTIFS(Operators!$E$2:$E$1001,A68,Operators!$B$2:$B$1001,"&lt;&gt;EXAMPLE*")+COUNTIFS(Operators!$F$2:$F$1001,A68,Operators!$E$2:$E$1001,"&lt;&gt;"&amp;A68,Operators!$B$2:$B$1001,"&lt;&gt;EXAMPLE*")</f>
        <v>6</v>
      </c>
      <c r="C68" s="12" t="s">
        <v>1159</v>
      </c>
    </row>
    <row r="69" customFormat="false" ht="15" hidden="false" customHeight="false" outlineLevel="0" collapsed="false">
      <c r="A69" s="12" t="s">
        <v>53</v>
      </c>
      <c r="B69" s="12" t="n">
        <f aca="false">COUNTIFS(Operators!$E$2:$E$1001,A69,Operators!$B$2:$B$1001,"&lt;&gt;EXAMPLE*")+COUNTIFS(Operators!$F$2:$F$1001,A69,Operators!$E$2:$E$1001,"&lt;&gt;"&amp;A69,Operators!$B$2:$B$1001,"&lt;&gt;EXAMPLE*")</f>
        <v>0</v>
      </c>
      <c r="C69" s="12" t="s">
        <v>1159</v>
      </c>
    </row>
    <row r="70" customFormat="false" ht="15" hidden="false" customHeight="false" outlineLevel="0" collapsed="false">
      <c r="A70" s="12" t="s">
        <v>1160</v>
      </c>
      <c r="B70" s="12" t="n">
        <f aca="false">COUNTIFS(Operators!$E$2:$E$1001,A70,Operators!$B$2:$B$1001,"&lt;&gt;EXAMPLE*")+COUNTIFS(Operators!$F$2:$F$1001,A70,Operators!$E$2:$E$1001,"&lt;&gt;"&amp;A70,Operators!$B$2:$B$1001,"&lt;&gt;EXAMPLE*")</f>
        <v>0</v>
      </c>
      <c r="C70" s="12" t="s">
        <v>1159</v>
      </c>
    </row>
    <row r="71" customFormat="false" ht="15" hidden="false" customHeight="false" outlineLevel="0" collapsed="false">
      <c r="A71" s="12" t="s">
        <v>1161</v>
      </c>
      <c r="B71" s="12" t="n">
        <f aca="false">COUNTIFS(Operators!$E$2:$E$1001,A71,Operators!$B$2:$B$1001,"&lt;&gt;EXAMPLE*")+COUNTIFS(Operators!$F$2:$F$1001,A71,Operators!$E$2:$E$1001,"&lt;&gt;"&amp;A71,Operators!$B$2:$B$1001,"&lt;&gt;EXAMPLE*")</f>
        <v>0</v>
      </c>
      <c r="C71" s="12" t="s">
        <v>1159</v>
      </c>
    </row>
    <row r="72" customFormat="false" ht="15" hidden="false" customHeight="false" outlineLevel="0" collapsed="false">
      <c r="A72" s="12" t="s">
        <v>1162</v>
      </c>
      <c r="B72" s="12" t="n">
        <f aca="false">COUNTIFS(Operators!$E$2:$E$1001,A72,Operators!$B$2:$B$1001,"&lt;&gt;EXAMPLE*")+COUNTIFS(Operators!$F$2:$F$1001,A72,Operators!$E$2:$E$1001,"&lt;&gt;"&amp;A72,Operators!$B$2:$B$1001,"&lt;&gt;EXAMPLE*")</f>
        <v>0</v>
      </c>
      <c r="C72" s="12" t="s">
        <v>1159</v>
      </c>
    </row>
    <row r="73" customFormat="false" ht="15" hidden="false" customHeight="false" outlineLevel="0" collapsed="false">
      <c r="A73" s="12" t="s">
        <v>1163</v>
      </c>
      <c r="B73" s="12" t="n">
        <f aca="false">COUNTIFS(Operators!$E$2:$E$1001,A73,Operators!$B$2:$B$1001,"&lt;&gt;EXAMPLE*")+COUNTIFS(Operators!$F$2:$F$1001,A73,Operators!$E$2:$E$1001,"&lt;&gt;"&amp;A73,Operators!$B$2:$B$1001,"&lt;&gt;EXAMPLE*")</f>
        <v>0</v>
      </c>
      <c r="C73" s="12" t="s">
        <v>1159</v>
      </c>
    </row>
    <row r="74" customFormat="false" ht="15" hidden="false" customHeight="false" outlineLevel="0" collapsed="false">
      <c r="A74" s="12" t="s">
        <v>1164</v>
      </c>
      <c r="B74" s="12" t="n">
        <f aca="false">COUNTIFS(Operators!$E$2:$E$1001,A74,Operators!$B$2:$B$1001,"&lt;&gt;EXAMPLE*")+COUNTIFS(Operators!$F$2:$F$1001,A74,Operators!$E$2:$E$1001,"&lt;&gt;"&amp;A74,Operators!$B$2:$B$1001,"&lt;&gt;EXAMPLE*")</f>
        <v>0</v>
      </c>
      <c r="C74" s="12" t="s">
        <v>1165</v>
      </c>
    </row>
    <row r="75" customFormat="false" ht="15" hidden="false" customHeight="false" outlineLevel="0" collapsed="false">
      <c r="A75" s="12" t="s">
        <v>1166</v>
      </c>
      <c r="B75" s="12" t="n">
        <f aca="false">COUNTIFS(Operators!$E$2:$E$1001,A75,Operators!$B$2:$B$1001,"&lt;&gt;EXAMPLE*")+COUNTIFS(Operators!$F$2:$F$1001,A75,Operators!$E$2:$E$1001,"&lt;&gt;"&amp;A75,Operators!$B$2:$B$1001,"&lt;&gt;EXAMPLE*")</f>
        <v>0</v>
      </c>
      <c r="C75" s="12" t="s">
        <v>1165</v>
      </c>
    </row>
    <row r="76" customFormat="false" ht="15" hidden="false" customHeight="false" outlineLevel="0" collapsed="false">
      <c r="A76" s="12" t="s">
        <v>1167</v>
      </c>
      <c r="B76" s="12" t="n">
        <f aca="false">COUNTIFS(Operators!$E$2:$E$1001,A76,Operators!$B$2:$B$1001,"&lt;&gt;EXAMPLE*")+COUNTIFS(Operators!$F$2:$F$1001,A76,Operators!$E$2:$E$1001,"&lt;&gt;"&amp;A76,Operators!$B$2:$B$1001,"&lt;&gt;EXAMPLE*")</f>
        <v>0</v>
      </c>
      <c r="C76" s="12" t="s">
        <v>1165</v>
      </c>
    </row>
    <row r="77" customFormat="false" ht="15" hidden="false" customHeight="false" outlineLevel="0" collapsed="false">
      <c r="A77" s="12" t="s">
        <v>1168</v>
      </c>
      <c r="B77" s="12" t="n">
        <f aca="false">COUNTIFS(Operators!$E$2:$E$1001,A77,Operators!$B$2:$B$1001,"&lt;&gt;EXAMPLE*")+COUNTIFS(Operators!$F$2:$F$1001,A77,Operators!$E$2:$E$1001,"&lt;&gt;"&amp;A77,Operators!$B$2:$B$1001,"&lt;&gt;EXAMPLE*")</f>
        <v>0</v>
      </c>
      <c r="C77" s="12" t="s">
        <v>1165</v>
      </c>
    </row>
    <row r="78" customFormat="false" ht="15" hidden="false" customHeight="false" outlineLevel="0" collapsed="false">
      <c r="A78" s="12" t="s">
        <v>1169</v>
      </c>
      <c r="B78" s="12" t="n">
        <f aca="false">COUNTIFS(Operators!$E$2:$E$1001,A78,Operators!$B$2:$B$1001,"&lt;&gt;EXAMPLE*")+COUNTIFS(Operators!$F$2:$F$1001,A78,Operators!$E$2:$E$1001,"&lt;&gt;"&amp;A78,Operators!$B$2:$B$1001,"&lt;&gt;EXAMPLE*")</f>
        <v>0</v>
      </c>
      <c r="C78" s="12" t="s">
        <v>1165</v>
      </c>
    </row>
    <row r="79" customFormat="false" ht="15" hidden="false" customHeight="false" outlineLevel="0" collapsed="false">
      <c r="A79" s="12" t="s">
        <v>1170</v>
      </c>
      <c r="B79" s="12" t="n">
        <f aca="false">COUNTIFS(Operators!$E$2:$E$1001,A79,Operators!$B$2:$B$1001,"&lt;&gt;EXAMPLE*")+COUNTIFS(Operators!$F$2:$F$1001,A79,Operators!$E$2:$E$1001,"&lt;&gt;"&amp;A79,Operators!$B$2:$B$1001,"&lt;&gt;EXAMPLE*")</f>
        <v>0</v>
      </c>
      <c r="C79" s="12" t="s">
        <v>1165</v>
      </c>
    </row>
    <row r="80" customFormat="false" ht="15" hidden="false" customHeight="false" outlineLevel="0" collapsed="false">
      <c r="A80" s="12" t="s">
        <v>1171</v>
      </c>
      <c r="B80" s="12" t="n">
        <f aca="false">COUNTIFS(Operators!$E$2:$E$1001,A80,Operators!$B$2:$B$1001,"&lt;&gt;EXAMPLE*")+COUNTIFS(Operators!$F$2:$F$1001,A80,Operators!$E$2:$E$1001,"&lt;&gt;"&amp;A80,Operators!$B$2:$B$1001,"&lt;&gt;EXAMPLE*")</f>
        <v>0</v>
      </c>
      <c r="C80" s="12" t="s">
        <v>1165</v>
      </c>
    </row>
    <row r="81" customFormat="false" ht="15" hidden="false" customHeight="false" outlineLevel="0" collapsed="false">
      <c r="A81" s="12" t="s">
        <v>1172</v>
      </c>
      <c r="B81" s="12" t="n">
        <f aca="false">COUNTIFS(Operators!$E$2:$E$1001,A81,Operators!$B$2:$B$1001,"&lt;&gt;EXAMPLE*")+COUNTIFS(Operators!$F$2:$F$1001,A81,Operators!$E$2:$E$1001,"&lt;&gt;"&amp;A81,Operators!$B$2:$B$1001,"&lt;&gt;EXAMPLE*")</f>
        <v>0</v>
      </c>
      <c r="C81" s="12" t="s">
        <v>1165</v>
      </c>
    </row>
    <row r="82" customFormat="false" ht="15" hidden="false" customHeight="false" outlineLevel="0" collapsed="false">
      <c r="A82" s="12" t="s">
        <v>1173</v>
      </c>
      <c r="B82" s="12" t="n">
        <f aca="false">COUNTIFS(Operators!$E$2:$E$1001,A82,Operators!$B$2:$B$1001,"&lt;&gt;EXAMPLE*")+COUNTIFS(Operators!$F$2:$F$1001,A82,Operators!$E$2:$E$1001,"&lt;&gt;"&amp;A82,Operators!$B$2:$B$1001,"&lt;&gt;EXAMPLE*")</f>
        <v>0</v>
      </c>
      <c r="C82" s="12" t="s">
        <v>1165</v>
      </c>
    </row>
    <row r="83" customFormat="false" ht="15" hidden="false" customHeight="false" outlineLevel="0" collapsed="false">
      <c r="A83" s="12" t="s">
        <v>1174</v>
      </c>
      <c r="B83" s="12" t="n">
        <f aca="false">COUNTIFS(Operators!$E$2:$E$1001,A83,Operators!$B$2:$B$1001,"&lt;&gt;EXAMPLE*")+COUNTIFS(Operators!$F$2:$F$1001,A83,Operators!$E$2:$E$1001,"&lt;&gt;"&amp;A83,Operators!$B$2:$B$1001,"&lt;&gt;EXAMPLE*")</f>
        <v>0</v>
      </c>
      <c r="C83" s="12" t="s">
        <v>1175</v>
      </c>
    </row>
    <row r="84" customFormat="false" ht="15" hidden="false" customHeight="false" outlineLevel="0" collapsed="false">
      <c r="A84" s="12" t="s">
        <v>1176</v>
      </c>
      <c r="B84" s="12" t="n">
        <f aca="false">COUNTIFS(Operators!$E$2:$E$1001,A84,Operators!$B$2:$B$1001,"&lt;&gt;EXAMPLE*")+COUNTIFS(Operators!$F$2:$F$1001,A84,Operators!$E$2:$E$1001,"&lt;&gt;"&amp;A84,Operators!$B$2:$B$1001,"&lt;&gt;EXAMPLE*")</f>
        <v>0</v>
      </c>
      <c r="C84" s="12" t="s">
        <v>1175</v>
      </c>
    </row>
    <row r="85" customFormat="false" ht="15" hidden="false" customHeight="false" outlineLevel="0" collapsed="false">
      <c r="A85" s="12" t="s">
        <v>1177</v>
      </c>
      <c r="B85" s="12" t="n">
        <f aca="false">COUNTIFS(Operators!$E$2:$E$1001,A85,Operators!$B$2:$B$1001,"&lt;&gt;EXAMPLE*")+COUNTIFS(Operators!$F$2:$F$1001,A85,Operators!$E$2:$E$1001,"&lt;&gt;"&amp;A85,Operators!$B$2:$B$1001,"&lt;&gt;EXAMPLE*")</f>
        <v>0</v>
      </c>
      <c r="C85" s="12" t="s">
        <v>1175</v>
      </c>
    </row>
    <row r="86" customFormat="false" ht="15" hidden="false" customHeight="false" outlineLevel="0" collapsed="false">
      <c r="A86" s="12" t="s">
        <v>1178</v>
      </c>
      <c r="B86" s="12" t="n">
        <f aca="false">COUNTIFS(Operators!$E$2:$E$1001,A86,Operators!$B$2:$B$1001,"&lt;&gt;EXAMPLE*")+COUNTIFS(Operators!$F$2:$F$1001,A86,Operators!$E$2:$E$1001,"&lt;&gt;"&amp;A86,Operators!$B$2:$B$1001,"&lt;&gt;EXAMPLE*")</f>
        <v>0</v>
      </c>
      <c r="C86" s="12" t="s">
        <v>1175</v>
      </c>
    </row>
    <row r="87" customFormat="false" ht="15" hidden="false" customHeight="false" outlineLevel="0" collapsed="false">
      <c r="A87" s="12" t="s">
        <v>1179</v>
      </c>
      <c r="B87" s="12" t="n">
        <f aca="false">COUNTIFS(Operators!$E$2:$E$1001,A87,Operators!$B$2:$B$1001,"&lt;&gt;EXAMPLE*")+COUNTIFS(Operators!$F$2:$F$1001,A87,Operators!$E$2:$E$1001,"&lt;&gt;"&amp;A87,Operators!$B$2:$B$1001,"&lt;&gt;EXAMPLE*")</f>
        <v>0</v>
      </c>
      <c r="C87" s="12" t="s">
        <v>1180</v>
      </c>
    </row>
    <row r="88" customFormat="false" ht="15" hidden="false" customHeight="false" outlineLevel="0" collapsed="false">
      <c r="A88" s="12" t="s">
        <v>1181</v>
      </c>
      <c r="B88" s="12" t="n">
        <f aca="false">COUNTIFS(Operators!$E$2:$E$1001,A88,Operators!$B$2:$B$1001,"&lt;&gt;EXAMPLE*")+COUNTIFS(Operators!$F$2:$F$1001,A88,Operators!$E$2:$E$1001,"&lt;&gt;"&amp;A88,Operators!$B$2:$B$1001,"&lt;&gt;EXAMPLE*")</f>
        <v>0</v>
      </c>
      <c r="C88" s="12" t="s">
        <v>1180</v>
      </c>
    </row>
    <row r="89" customFormat="false" ht="15" hidden="false" customHeight="false" outlineLevel="0" collapsed="false">
      <c r="A89" s="12" t="s">
        <v>1182</v>
      </c>
      <c r="B89" s="12" t="n">
        <f aca="false">COUNTIFS(Operators!$E$2:$E$1001,A89,Operators!$B$2:$B$1001,"&lt;&gt;EXAMPLE*")+COUNTIFS(Operators!$F$2:$F$1001,A89,Operators!$E$2:$E$1001,"&lt;&gt;"&amp;A89,Operators!$B$2:$B$1001,"&lt;&gt;EXAMPLE*")</f>
        <v>0</v>
      </c>
      <c r="C89" s="12" t="s">
        <v>1180</v>
      </c>
    </row>
    <row r="90" customFormat="false" ht="15" hidden="false" customHeight="false" outlineLevel="0" collapsed="false">
      <c r="A90" s="12" t="s">
        <v>1183</v>
      </c>
      <c r="B90" s="12" t="n">
        <f aca="false">COUNTIFS(Operators!$E$2:$E$1001,A90,Operators!$B$2:$B$1001,"&lt;&gt;EXAMPLE*")+COUNTIFS(Operators!$F$2:$F$1001,A90,Operators!$E$2:$E$1001,"&lt;&gt;"&amp;A90,Operators!$B$2:$B$1001,"&lt;&gt;EXAMPLE*")</f>
        <v>0</v>
      </c>
      <c r="C90" s="12" t="s">
        <v>1180</v>
      </c>
    </row>
    <row r="91" customFormat="false" ht="15" hidden="false" customHeight="false" outlineLevel="0" collapsed="false">
      <c r="A91" s="12" t="s">
        <v>1184</v>
      </c>
      <c r="B91" s="12" t="n">
        <f aca="false">COUNTIFS(Operators!$E$2:$E$1001,A91,Operators!$B$2:$B$1001,"&lt;&gt;EXAMPLE*")+COUNTIFS(Operators!$F$2:$F$1001,A91,Operators!$E$2:$E$1001,"&lt;&gt;"&amp;A91,Operators!$B$2:$B$1001,"&lt;&gt;EXAMPLE*")</f>
        <v>0</v>
      </c>
      <c r="C91" s="12" t="s">
        <v>1185</v>
      </c>
    </row>
    <row r="92" customFormat="false" ht="15" hidden="false" customHeight="false" outlineLevel="0" collapsed="false">
      <c r="A92" s="12" t="s">
        <v>1186</v>
      </c>
      <c r="B92" s="12" t="n">
        <f aca="false">COUNTIFS(Operators!$E$2:$E$1001,A92,Operators!$B$2:$B$1001,"&lt;&gt;EXAMPLE*")+COUNTIFS(Operators!$F$2:$F$1001,A92,Operators!$E$2:$E$1001,"&lt;&gt;"&amp;A92,Operators!$B$2:$B$1001,"&lt;&gt;EXAMPLE*")</f>
        <v>0</v>
      </c>
      <c r="C92" s="12" t="s">
        <v>1185</v>
      </c>
    </row>
    <row r="93" customFormat="false" ht="15" hidden="false" customHeight="false" outlineLevel="0" collapsed="false">
      <c r="A93" s="12" t="s">
        <v>1187</v>
      </c>
      <c r="B93" s="12" t="n">
        <f aca="false">COUNTIFS(Operators!$E$2:$E$1001,A93,Operators!$B$2:$B$1001,"&lt;&gt;EXAMPLE*")+COUNTIFS(Operators!$F$2:$F$1001,A93,Operators!$E$2:$E$1001,"&lt;&gt;"&amp;A93,Operators!$B$2:$B$1001,"&lt;&gt;EXAMPLE*")</f>
        <v>0</v>
      </c>
      <c r="C93" s="12" t="s">
        <v>1185</v>
      </c>
    </row>
    <row r="94" customFormat="false" ht="15" hidden="false" customHeight="false" outlineLevel="0" collapsed="false">
      <c r="A94" s="12" t="s">
        <v>1188</v>
      </c>
      <c r="B94" s="12" t="n">
        <f aca="false">COUNTIFS(Operators!$E$2:$E$1001,A94,Operators!$B$2:$B$1001,"&lt;&gt;EXAMPLE*")+COUNTIFS(Operators!$F$2:$F$1001,A94,Operators!$E$2:$E$1001,"&lt;&gt;"&amp;A94,Operators!$B$2:$B$1001,"&lt;&gt;EXAMPLE*")</f>
        <v>0</v>
      </c>
      <c r="C94" s="12" t="s">
        <v>1189</v>
      </c>
    </row>
    <row r="95" customFormat="false" ht="15" hidden="false" customHeight="false" outlineLevel="0" collapsed="false">
      <c r="A95" s="12" t="s">
        <v>1190</v>
      </c>
      <c r="B95" s="12" t="n">
        <f aca="false">COUNTIFS(Operators!$E$2:$E$1001,A95,Operators!$B$2:$B$1001,"&lt;&gt;EXAMPLE*")+COUNTIFS(Operators!$F$2:$F$1001,A95,Operators!$E$2:$E$1001,"&lt;&gt;"&amp;A95,Operators!$B$2:$B$1001,"&lt;&gt;EXAMPLE*")</f>
        <v>0</v>
      </c>
      <c r="C95" s="12" t="s">
        <v>1189</v>
      </c>
    </row>
    <row r="96" customFormat="false" ht="15" hidden="false" customHeight="false" outlineLevel="0" collapsed="false">
      <c r="A96" s="12" t="s">
        <v>1191</v>
      </c>
      <c r="B96" s="12" t="n">
        <f aca="false">COUNTIFS(Operators!$E$2:$E$1001,A96,Operators!$B$2:$B$1001,"&lt;&gt;EXAMPLE*")+COUNTIFS(Operators!$F$2:$F$1001,A96,Operators!$E$2:$E$1001,"&lt;&gt;"&amp;A96,Operators!$B$2:$B$1001,"&lt;&gt;EXAMPLE*")</f>
        <v>0</v>
      </c>
      <c r="C96" s="12" t="s">
        <v>1189</v>
      </c>
    </row>
    <row r="97" customFormat="false" ht="15" hidden="false" customHeight="false" outlineLevel="0" collapsed="false">
      <c r="A97" s="12" t="s">
        <v>1192</v>
      </c>
      <c r="B97" s="12" t="n">
        <f aca="false">COUNTIFS(Operators!$E$2:$E$1001,A97,Operators!$B$2:$B$1001,"&lt;&gt;EXAMPLE*")+COUNTIFS(Operators!$F$2:$F$1001,A97,Operators!$E$2:$E$1001,"&lt;&gt;"&amp;A97,Operators!$B$2:$B$1001,"&lt;&gt;EXAMPLE*")</f>
        <v>0</v>
      </c>
      <c r="C97" s="12" t="s">
        <v>1189</v>
      </c>
    </row>
    <row r="98" customFormat="false" ht="15" hidden="false" customHeight="false" outlineLevel="0" collapsed="false">
      <c r="A98" s="12" t="s">
        <v>1193</v>
      </c>
      <c r="B98" s="12" t="n">
        <f aca="false">COUNTIFS(Operators!$E$2:$E$1001,A98,Operators!$B$2:$B$1001,"&lt;&gt;EXAMPLE*")+COUNTIFS(Operators!$F$2:$F$1001,A98,Operators!$E$2:$E$1001,"&lt;&gt;"&amp;A98,Operators!$B$2:$B$1001,"&lt;&gt;EXAMPLE*")</f>
        <v>0</v>
      </c>
      <c r="C98" s="12" t="s">
        <v>1194</v>
      </c>
    </row>
    <row r="99" customFormat="false" ht="15" hidden="false" customHeight="false" outlineLevel="0" collapsed="false">
      <c r="A99" s="12" t="s">
        <v>1195</v>
      </c>
      <c r="B99" s="12" t="n">
        <f aca="false">COUNTIFS(Operators!$E$2:$E$1001,A99,Operators!$B$2:$B$1001,"&lt;&gt;EXAMPLE*")+COUNTIFS(Operators!$F$2:$F$1001,A99,Operators!$E$2:$E$1001,"&lt;&gt;"&amp;A99,Operators!$B$2:$B$1001,"&lt;&gt;EXAMPLE*")</f>
        <v>0</v>
      </c>
      <c r="C99" s="12" t="s">
        <v>1194</v>
      </c>
    </row>
    <row r="100" customFormat="false" ht="15" hidden="false" customHeight="false" outlineLevel="0" collapsed="false">
      <c r="A100" s="12" t="s">
        <v>1196</v>
      </c>
      <c r="B100" s="12" t="n">
        <f aca="false">COUNTIFS(Operators!$E$2:$E$1001,A100,Operators!$B$2:$B$1001,"&lt;&gt;EXAMPLE*")+COUNTIFS(Operators!$F$2:$F$1001,A100,Operators!$E$2:$E$1001,"&lt;&gt;"&amp;A100,Operators!$B$2:$B$1001,"&lt;&gt;EXAMPLE*")</f>
        <v>0</v>
      </c>
      <c r="C100" s="12" t="s">
        <v>1197</v>
      </c>
    </row>
    <row r="101" customFormat="false" ht="15" hidden="false" customHeight="false" outlineLevel="0" collapsed="false">
      <c r="A101" s="12" t="s">
        <v>1198</v>
      </c>
      <c r="B101" s="12" t="n">
        <f aca="false">COUNTIFS(Operators!$E$2:$E$1001,A101,Operators!$B$2:$B$1001,"&lt;&gt;EXAMPLE*")+COUNTIFS(Operators!$F$2:$F$1001,A101,Operators!$E$2:$E$1001,"&lt;&gt;"&amp;A101,Operators!$B$2:$B$1001,"&lt;&gt;EXAMPLE*")</f>
        <v>0</v>
      </c>
      <c r="C101" s="12" t="s">
        <v>1197</v>
      </c>
    </row>
    <row r="102" customFormat="false" ht="15" hidden="false" customHeight="false" outlineLevel="0" collapsed="false">
      <c r="A102" s="12" t="s">
        <v>1199</v>
      </c>
      <c r="B102" s="12" t="n">
        <f aca="false">COUNTIFS(Operators!$E$2:$E$1001,A102,Operators!$B$2:$B$1001,"&lt;&gt;EXAMPLE*")+COUNTIFS(Operators!$F$2:$F$1001,A102,Operators!$E$2:$E$1001,"&lt;&gt;"&amp;A102,Operators!$B$2:$B$1001,"&lt;&gt;EXAMPLE*")</f>
        <v>0</v>
      </c>
      <c r="C102" s="12" t="s">
        <v>1197</v>
      </c>
    </row>
    <row r="103" customFormat="false" ht="15" hidden="false" customHeight="false" outlineLevel="0" collapsed="false">
      <c r="A103" s="12" t="s">
        <v>1200</v>
      </c>
      <c r="B103" s="12" t="n">
        <f aca="false">COUNTIFS(Operators!$E$2:$E$1001,A103,Operators!$B$2:$B$1001,"&lt;&gt;EXAMPLE*")+COUNTIFS(Operators!$F$2:$F$1001,A103,Operators!$E$2:$E$1001,"&lt;&gt;"&amp;A103,Operators!$B$2:$B$1001,"&lt;&gt;EXAMPLE*")</f>
        <v>0</v>
      </c>
      <c r="C103" s="12" t="s">
        <v>1201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6" min="6" style="0" width="34"/>
    <col collapsed="false" customWidth="true" hidden="false" outlineLevel="0" max="7" min="7" style="0" width="30"/>
    <col collapsed="false" customWidth="true" hidden="false" outlineLevel="0" max="8" min="8" style="0" width="10"/>
    <col collapsed="false" customWidth="true" hidden="false" outlineLevel="0" max="10" min="10" style="0" width="11"/>
    <col collapsed="false" customWidth="true" hidden="false" outlineLevel="0" max="11" min="11" style="0" width="55"/>
    <col collapsed="false" customWidth="true" hidden="false" outlineLevel="0" max="13" min="13" style="0" width="17"/>
    <col collapsed="false" customWidth="true" hidden="false" outlineLevel="0" max="14" min="14" style="0" width="50"/>
    <col collapsed="false" customWidth="true" hidden="false" outlineLevel="0" max="15" min="15" style="0" width="9"/>
    <col collapsed="false" customWidth="true" hidden="false" outlineLevel="0" max="17" min="17" style="0" width="13"/>
  </cols>
  <sheetData>
    <row r="1" customFormat="false" ht="15" hidden="false" customHeight="false" outlineLevel="0" collapsed="false">
      <c r="A1" s="6" t="s">
        <v>25</v>
      </c>
      <c r="B1" s="6" t="s">
        <v>26</v>
      </c>
      <c r="C1" s="6" t="s">
        <v>1202</v>
      </c>
      <c r="D1" s="6" t="s">
        <v>1116</v>
      </c>
      <c r="F1" s="6" t="s">
        <v>1157</v>
      </c>
      <c r="G1" s="6" t="s">
        <v>1158</v>
      </c>
      <c r="H1" s="6" t="s">
        <v>1116</v>
      </c>
      <c r="J1" s="6" t="s">
        <v>37</v>
      </c>
      <c r="K1" s="6" t="s">
        <v>1097</v>
      </c>
      <c r="M1" s="6" t="s">
        <v>35</v>
      </c>
      <c r="N1" s="6" t="s">
        <v>1203</v>
      </c>
      <c r="O1" s="6" t="s">
        <v>1204</v>
      </c>
      <c r="Q1" s="6" t="s">
        <v>46</v>
      </c>
    </row>
    <row r="2" customFormat="false" ht="15" hidden="false" customHeight="false" outlineLevel="0" collapsed="false">
      <c r="A2" s="12" t="s">
        <v>1117</v>
      </c>
      <c r="B2" s="12" t="s">
        <v>51</v>
      </c>
      <c r="C2" s="12" t="s">
        <v>1205</v>
      </c>
      <c r="D2" s="12" t="s">
        <v>1118</v>
      </c>
      <c r="F2" s="12" t="s">
        <v>52</v>
      </c>
      <c r="G2" s="12" t="s">
        <v>1159</v>
      </c>
      <c r="H2" s="12" t="s">
        <v>1118</v>
      </c>
      <c r="J2" s="19" t="s">
        <v>76</v>
      </c>
      <c r="K2" s="19" t="s">
        <v>1098</v>
      </c>
      <c r="M2" s="19" t="s">
        <v>59</v>
      </c>
      <c r="N2" s="19" t="s">
        <v>1206</v>
      </c>
      <c r="O2" s="19" t="s">
        <v>1207</v>
      </c>
      <c r="Q2" s="19" t="s">
        <v>65</v>
      </c>
    </row>
    <row r="3" customFormat="false" ht="15" hidden="false" customHeight="false" outlineLevel="0" collapsed="false">
      <c r="A3" s="12" t="s">
        <v>50</v>
      </c>
      <c r="B3" s="12" t="s">
        <v>51</v>
      </c>
      <c r="C3" s="12" t="s">
        <v>1205</v>
      </c>
      <c r="D3" s="12" t="s">
        <v>1118</v>
      </c>
      <c r="F3" s="12" t="s">
        <v>53</v>
      </c>
      <c r="G3" s="12" t="s">
        <v>1159</v>
      </c>
      <c r="H3" s="12" t="s">
        <v>1118</v>
      </c>
      <c r="J3" s="19" t="s">
        <v>1099</v>
      </c>
      <c r="K3" s="19" t="s">
        <v>1100</v>
      </c>
      <c r="M3" s="19" t="s">
        <v>1208</v>
      </c>
      <c r="N3" s="19" t="s">
        <v>1209</v>
      </c>
      <c r="O3" s="19" t="s">
        <v>1210</v>
      </c>
      <c r="Q3" s="19" t="s">
        <v>1211</v>
      </c>
    </row>
    <row r="4" customFormat="false" ht="15" hidden="false" customHeight="false" outlineLevel="0" collapsed="false">
      <c r="A4" s="12" t="s">
        <v>1119</v>
      </c>
      <c r="B4" s="12" t="s">
        <v>51</v>
      </c>
      <c r="C4" s="12" t="s">
        <v>1205</v>
      </c>
      <c r="D4" s="12" t="s">
        <v>1118</v>
      </c>
      <c r="F4" s="12" t="s">
        <v>1160</v>
      </c>
      <c r="G4" s="12" t="s">
        <v>1159</v>
      </c>
      <c r="H4" s="12" t="s">
        <v>1118</v>
      </c>
      <c r="J4" s="19" t="s">
        <v>60</v>
      </c>
      <c r="K4" s="19" t="s">
        <v>1101</v>
      </c>
      <c r="M4" s="19" t="s">
        <v>1212</v>
      </c>
      <c r="N4" s="19" t="s">
        <v>1213</v>
      </c>
      <c r="O4" s="19" t="s">
        <v>1210</v>
      </c>
      <c r="Q4" s="19" t="s">
        <v>1214</v>
      </c>
    </row>
    <row r="5" customFormat="false" ht="15" hidden="false" customHeight="false" outlineLevel="0" collapsed="false">
      <c r="A5" s="12" t="s">
        <v>1120</v>
      </c>
      <c r="B5" s="12" t="s">
        <v>51</v>
      </c>
      <c r="C5" s="12" t="s">
        <v>1215</v>
      </c>
      <c r="D5" s="12" t="s">
        <v>1118</v>
      </c>
      <c r="F5" s="12" t="s">
        <v>1161</v>
      </c>
      <c r="G5" s="12" t="s">
        <v>1159</v>
      </c>
      <c r="H5" s="12" t="s">
        <v>1118</v>
      </c>
      <c r="J5" s="19" t="s">
        <v>1102</v>
      </c>
      <c r="K5" s="19" t="s">
        <v>1103</v>
      </c>
      <c r="M5" s="19" t="s">
        <v>1216</v>
      </c>
      <c r="N5" s="19" t="s">
        <v>1217</v>
      </c>
      <c r="O5" s="19" t="s">
        <v>1210</v>
      </c>
      <c r="Q5" s="19" t="s">
        <v>1218</v>
      </c>
    </row>
    <row r="6" customFormat="false" ht="15" hidden="false" customHeight="false" outlineLevel="0" collapsed="false">
      <c r="A6" s="12" t="s">
        <v>1121</v>
      </c>
      <c r="B6" s="12" t="s">
        <v>1219</v>
      </c>
      <c r="C6" s="12" t="s">
        <v>1220</v>
      </c>
      <c r="D6" s="12" t="s">
        <v>1118</v>
      </c>
      <c r="F6" s="12" t="s">
        <v>1162</v>
      </c>
      <c r="G6" s="12" t="s">
        <v>1159</v>
      </c>
      <c r="H6" s="12" t="s">
        <v>1118</v>
      </c>
      <c r="J6" s="19" t="s">
        <v>70</v>
      </c>
      <c r="K6" s="19" t="s">
        <v>1104</v>
      </c>
      <c r="M6" s="19" t="s">
        <v>1221</v>
      </c>
      <c r="N6" s="19" t="s">
        <v>1222</v>
      </c>
      <c r="O6" s="19" t="s">
        <v>1223</v>
      </c>
    </row>
    <row r="7" customFormat="false" ht="15" hidden="false" customHeight="false" outlineLevel="0" collapsed="false">
      <c r="A7" s="12" t="s">
        <v>1122</v>
      </c>
      <c r="B7" s="12" t="s">
        <v>1219</v>
      </c>
      <c r="C7" s="12" t="s">
        <v>1220</v>
      </c>
      <c r="D7" s="12" t="s">
        <v>1118</v>
      </c>
      <c r="F7" s="12" t="s">
        <v>1163</v>
      </c>
      <c r="G7" s="12" t="s">
        <v>1159</v>
      </c>
      <c r="H7" s="12" t="s">
        <v>1118</v>
      </c>
      <c r="J7" s="19" t="s">
        <v>1105</v>
      </c>
      <c r="K7" s="19" t="s">
        <v>1106</v>
      </c>
      <c r="M7" s="19" t="s">
        <v>1224</v>
      </c>
      <c r="N7" s="19" t="s">
        <v>1225</v>
      </c>
      <c r="O7" s="19" t="s">
        <v>1223</v>
      </c>
    </row>
    <row r="8" customFormat="false" ht="15" hidden="false" customHeight="false" outlineLevel="0" collapsed="false">
      <c r="A8" s="12" t="s">
        <v>1123</v>
      </c>
      <c r="B8" s="12" t="s">
        <v>1226</v>
      </c>
      <c r="C8" s="12" t="s">
        <v>1220</v>
      </c>
      <c r="D8" s="12" t="s">
        <v>1118</v>
      </c>
      <c r="F8" s="12" t="s">
        <v>1164</v>
      </c>
      <c r="G8" s="12" t="s">
        <v>1165</v>
      </c>
      <c r="H8" s="12" t="s">
        <v>1118</v>
      </c>
      <c r="J8" s="19" t="s">
        <v>1107</v>
      </c>
      <c r="K8" s="19" t="s">
        <v>1108</v>
      </c>
      <c r="M8" s="19" t="s">
        <v>80</v>
      </c>
      <c r="N8" s="19" t="s">
        <v>1227</v>
      </c>
      <c r="O8" s="19" t="s">
        <v>1223</v>
      </c>
    </row>
    <row r="9" customFormat="false" ht="15" hidden="false" customHeight="false" outlineLevel="0" collapsed="false">
      <c r="A9" s="12" t="s">
        <v>1124</v>
      </c>
      <c r="B9" s="12" t="s">
        <v>1226</v>
      </c>
      <c r="C9" s="12" t="s">
        <v>1220</v>
      </c>
      <c r="D9" s="12" t="s">
        <v>1118</v>
      </c>
      <c r="F9" s="12" t="s">
        <v>1166</v>
      </c>
      <c r="G9" s="12" t="s">
        <v>1165</v>
      </c>
      <c r="H9" s="12" t="s">
        <v>1118</v>
      </c>
      <c r="J9" s="19" t="s">
        <v>1109</v>
      </c>
      <c r="K9" s="19" t="s">
        <v>1110</v>
      </c>
      <c r="M9" s="19" t="s">
        <v>32</v>
      </c>
      <c r="N9" s="19" t="s">
        <v>1228</v>
      </c>
      <c r="O9" s="19" t="s">
        <v>1229</v>
      </c>
    </row>
    <row r="10" customFormat="false" ht="15" hidden="false" customHeight="false" outlineLevel="0" collapsed="false">
      <c r="A10" s="12" t="s">
        <v>1125</v>
      </c>
      <c r="B10" s="12" t="s">
        <v>1226</v>
      </c>
      <c r="C10" s="12" t="s">
        <v>1220</v>
      </c>
      <c r="D10" s="12" t="s">
        <v>1118</v>
      </c>
      <c r="F10" s="12" t="s">
        <v>1167</v>
      </c>
      <c r="G10" s="12" t="s">
        <v>1165</v>
      </c>
      <c r="H10" s="12" t="s">
        <v>1230</v>
      </c>
      <c r="J10" s="19" t="s">
        <v>1111</v>
      </c>
      <c r="K10" s="19" t="s">
        <v>1112</v>
      </c>
      <c r="M10" s="19" t="s">
        <v>74</v>
      </c>
      <c r="N10" s="19" t="s">
        <v>1231</v>
      </c>
      <c r="O10" s="19" t="s">
        <v>1229</v>
      </c>
    </row>
    <row r="11" customFormat="false" ht="15" hidden="false" customHeight="false" outlineLevel="0" collapsed="false">
      <c r="A11" s="12" t="s">
        <v>1126</v>
      </c>
      <c r="B11" s="12" t="s">
        <v>1226</v>
      </c>
      <c r="C11" s="12" t="s">
        <v>1220</v>
      </c>
      <c r="D11" s="12" t="s">
        <v>1118</v>
      </c>
      <c r="F11" s="12" t="s">
        <v>1168</v>
      </c>
      <c r="G11" s="12" t="s">
        <v>1165</v>
      </c>
      <c r="H11" s="12" t="s">
        <v>1118</v>
      </c>
    </row>
    <row r="12" customFormat="false" ht="15" hidden="false" customHeight="false" outlineLevel="0" collapsed="false">
      <c r="A12" s="12" t="s">
        <v>1127</v>
      </c>
      <c r="B12" s="12" t="s">
        <v>1232</v>
      </c>
      <c r="C12" s="12" t="s">
        <v>1220</v>
      </c>
      <c r="D12" s="12" t="s">
        <v>1118</v>
      </c>
      <c r="F12" s="12" t="s">
        <v>1169</v>
      </c>
      <c r="G12" s="12" t="s">
        <v>1165</v>
      </c>
      <c r="H12" s="12" t="s">
        <v>1118</v>
      </c>
    </row>
    <row r="13" customFormat="false" ht="15" hidden="false" customHeight="false" outlineLevel="0" collapsed="false">
      <c r="A13" s="12" t="s">
        <v>1128</v>
      </c>
      <c r="B13" s="12" t="s">
        <v>1233</v>
      </c>
      <c r="C13" s="12" t="s">
        <v>1220</v>
      </c>
      <c r="D13" s="12" t="s">
        <v>1118</v>
      </c>
      <c r="F13" s="12" t="s">
        <v>1170</v>
      </c>
      <c r="G13" s="12" t="s">
        <v>1165</v>
      </c>
      <c r="H13" s="12" t="s">
        <v>1118</v>
      </c>
    </row>
    <row r="14" customFormat="false" ht="15" hidden="false" customHeight="false" outlineLevel="0" collapsed="false">
      <c r="A14" s="12" t="s">
        <v>1129</v>
      </c>
      <c r="B14" s="12" t="s">
        <v>1234</v>
      </c>
      <c r="C14" s="12" t="s">
        <v>1220</v>
      </c>
      <c r="D14" s="12" t="s">
        <v>1118</v>
      </c>
      <c r="F14" s="12" t="s">
        <v>1171</v>
      </c>
      <c r="G14" s="12" t="s">
        <v>1165</v>
      </c>
      <c r="H14" s="12" t="s">
        <v>1118</v>
      </c>
    </row>
    <row r="15" customFormat="false" ht="15" hidden="false" customHeight="false" outlineLevel="0" collapsed="false">
      <c r="A15" s="12" t="s">
        <v>1130</v>
      </c>
      <c r="B15" s="12" t="s">
        <v>1235</v>
      </c>
      <c r="C15" s="12" t="s">
        <v>1220</v>
      </c>
      <c r="D15" s="12" t="s">
        <v>1118</v>
      </c>
      <c r="F15" s="12" t="s">
        <v>1172</v>
      </c>
      <c r="G15" s="12" t="s">
        <v>1165</v>
      </c>
      <c r="H15" s="12" t="s">
        <v>1230</v>
      </c>
    </row>
    <row r="16" customFormat="false" ht="15" hidden="false" customHeight="false" outlineLevel="0" collapsed="false">
      <c r="A16" s="12" t="s">
        <v>1131</v>
      </c>
      <c r="B16" s="12" t="s">
        <v>1236</v>
      </c>
      <c r="C16" s="12" t="s">
        <v>1237</v>
      </c>
      <c r="D16" s="12" t="s">
        <v>1118</v>
      </c>
      <c r="F16" s="12" t="s">
        <v>1173</v>
      </c>
      <c r="G16" s="12" t="s">
        <v>1165</v>
      </c>
      <c r="H16" s="12" t="s">
        <v>1118</v>
      </c>
    </row>
    <row r="17" customFormat="false" ht="15" hidden="false" customHeight="false" outlineLevel="0" collapsed="false">
      <c r="A17" s="12" t="s">
        <v>1132</v>
      </c>
      <c r="B17" s="12" t="s">
        <v>1236</v>
      </c>
      <c r="C17" s="12" t="s">
        <v>1237</v>
      </c>
      <c r="D17" s="12" t="s">
        <v>1118</v>
      </c>
      <c r="F17" s="12" t="s">
        <v>1174</v>
      </c>
      <c r="G17" s="12" t="s">
        <v>1175</v>
      </c>
      <c r="H17" s="12" t="s">
        <v>1118</v>
      </c>
    </row>
    <row r="18" customFormat="false" ht="15" hidden="false" customHeight="false" outlineLevel="0" collapsed="false">
      <c r="A18" s="12" t="s">
        <v>1133</v>
      </c>
      <c r="B18" s="12" t="s">
        <v>1238</v>
      </c>
      <c r="C18" s="12" t="s">
        <v>1237</v>
      </c>
      <c r="D18" s="12" t="s">
        <v>1118</v>
      </c>
      <c r="F18" s="12" t="s">
        <v>1176</v>
      </c>
      <c r="G18" s="12" t="s">
        <v>1175</v>
      </c>
      <c r="H18" s="12" t="s">
        <v>1118</v>
      </c>
    </row>
    <row r="19" customFormat="false" ht="15" hidden="false" customHeight="false" outlineLevel="0" collapsed="false">
      <c r="A19" s="12" t="s">
        <v>1134</v>
      </c>
      <c r="B19" s="12" t="s">
        <v>1239</v>
      </c>
      <c r="C19" s="12" t="s">
        <v>1237</v>
      </c>
      <c r="D19" s="12" t="s">
        <v>1118</v>
      </c>
      <c r="F19" s="12" t="s">
        <v>1177</v>
      </c>
      <c r="G19" s="12" t="s">
        <v>1175</v>
      </c>
      <c r="H19" s="12" t="s">
        <v>1230</v>
      </c>
    </row>
    <row r="20" customFormat="false" ht="15" hidden="false" customHeight="false" outlineLevel="0" collapsed="false">
      <c r="A20" s="12" t="s">
        <v>1135</v>
      </c>
      <c r="B20" s="12" t="s">
        <v>1239</v>
      </c>
      <c r="C20" s="12" t="s">
        <v>1240</v>
      </c>
      <c r="D20" s="12" t="s">
        <v>1118</v>
      </c>
      <c r="F20" s="12" t="s">
        <v>1178</v>
      </c>
      <c r="G20" s="12" t="s">
        <v>1175</v>
      </c>
      <c r="H20" s="12" t="s">
        <v>1118</v>
      </c>
    </row>
    <row r="21" customFormat="false" ht="15" hidden="false" customHeight="false" outlineLevel="0" collapsed="false">
      <c r="A21" s="12" t="s">
        <v>1136</v>
      </c>
      <c r="B21" s="12" t="s">
        <v>1239</v>
      </c>
      <c r="C21" s="12" t="s">
        <v>1215</v>
      </c>
      <c r="D21" s="12" t="s">
        <v>1118</v>
      </c>
      <c r="F21" s="12" t="s">
        <v>1179</v>
      </c>
      <c r="G21" s="12" t="s">
        <v>1180</v>
      </c>
      <c r="H21" s="12" t="s">
        <v>1230</v>
      </c>
    </row>
    <row r="22" customFormat="false" ht="15" hidden="false" customHeight="false" outlineLevel="0" collapsed="false">
      <c r="A22" s="12" t="s">
        <v>1137</v>
      </c>
      <c r="B22" s="12" t="s">
        <v>1241</v>
      </c>
      <c r="C22" s="12" t="s">
        <v>1237</v>
      </c>
      <c r="D22" s="12" t="s">
        <v>1118</v>
      </c>
      <c r="F22" s="12" t="s">
        <v>1181</v>
      </c>
      <c r="G22" s="12" t="s">
        <v>1180</v>
      </c>
      <c r="H22" s="12" t="s">
        <v>1118</v>
      </c>
    </row>
    <row r="23" customFormat="false" ht="15" hidden="false" customHeight="false" outlineLevel="0" collapsed="false">
      <c r="A23" s="12" t="s">
        <v>1138</v>
      </c>
      <c r="B23" s="12" t="s">
        <v>1242</v>
      </c>
      <c r="C23" s="12" t="s">
        <v>1205</v>
      </c>
      <c r="D23" s="12" t="s">
        <v>1118</v>
      </c>
      <c r="F23" s="12" t="s">
        <v>1182</v>
      </c>
      <c r="G23" s="12" t="s">
        <v>1180</v>
      </c>
      <c r="H23" s="12" t="s">
        <v>1230</v>
      </c>
    </row>
    <row r="24" customFormat="false" ht="15" hidden="false" customHeight="false" outlineLevel="0" collapsed="false">
      <c r="A24" s="12" t="s">
        <v>1139</v>
      </c>
      <c r="B24" s="12" t="s">
        <v>1238</v>
      </c>
      <c r="C24" s="12" t="s">
        <v>1220</v>
      </c>
      <c r="D24" s="12" t="s">
        <v>1118</v>
      </c>
      <c r="F24" s="12" t="s">
        <v>1183</v>
      </c>
      <c r="G24" s="12" t="s">
        <v>1180</v>
      </c>
      <c r="H24" s="12" t="s">
        <v>1118</v>
      </c>
    </row>
    <row r="25" customFormat="false" ht="15" hidden="false" customHeight="false" outlineLevel="0" collapsed="false">
      <c r="A25" s="12" t="s">
        <v>1140</v>
      </c>
      <c r="B25" s="12" t="s">
        <v>1239</v>
      </c>
      <c r="C25" s="12" t="s">
        <v>1220</v>
      </c>
      <c r="D25" s="12" t="s">
        <v>1118</v>
      </c>
      <c r="F25" s="12" t="s">
        <v>1184</v>
      </c>
      <c r="G25" s="12" t="s">
        <v>1185</v>
      </c>
      <c r="H25" s="12" t="s">
        <v>1243</v>
      </c>
    </row>
    <row r="26" customFormat="false" ht="15" hidden="false" customHeight="false" outlineLevel="0" collapsed="false">
      <c r="A26" s="12" t="s">
        <v>1141</v>
      </c>
      <c r="B26" s="12" t="s">
        <v>1238</v>
      </c>
      <c r="C26" s="12" t="s">
        <v>1244</v>
      </c>
      <c r="D26" s="12" t="s">
        <v>1118</v>
      </c>
      <c r="F26" s="12" t="s">
        <v>1186</v>
      </c>
      <c r="G26" s="12" t="s">
        <v>1185</v>
      </c>
      <c r="H26" s="12" t="s">
        <v>1230</v>
      </c>
    </row>
    <row r="27" customFormat="false" ht="15" hidden="false" customHeight="false" outlineLevel="0" collapsed="false">
      <c r="A27" s="12" t="s">
        <v>1142</v>
      </c>
      <c r="B27" s="12" t="s">
        <v>1245</v>
      </c>
      <c r="C27" s="12" t="s">
        <v>1220</v>
      </c>
      <c r="D27" s="12" t="s">
        <v>1118</v>
      </c>
      <c r="F27" s="12" t="s">
        <v>1187</v>
      </c>
      <c r="G27" s="12" t="s">
        <v>1185</v>
      </c>
      <c r="H27" s="12" t="s">
        <v>1118</v>
      </c>
    </row>
    <row r="28" customFormat="false" ht="15" hidden="false" customHeight="false" outlineLevel="0" collapsed="false">
      <c r="A28" s="12" t="s">
        <v>1143</v>
      </c>
      <c r="B28" s="12" t="s">
        <v>1246</v>
      </c>
      <c r="C28" s="12" t="s">
        <v>1244</v>
      </c>
      <c r="D28" s="12" t="s">
        <v>1118</v>
      </c>
      <c r="F28" s="12" t="s">
        <v>1188</v>
      </c>
      <c r="G28" s="12" t="s">
        <v>1189</v>
      </c>
      <c r="H28" s="12" t="s">
        <v>1230</v>
      </c>
    </row>
    <row r="29" customFormat="false" ht="15" hidden="false" customHeight="false" outlineLevel="0" collapsed="false">
      <c r="A29" s="12" t="s">
        <v>1144</v>
      </c>
      <c r="B29" s="12" t="s">
        <v>1246</v>
      </c>
      <c r="C29" s="12" t="s">
        <v>1244</v>
      </c>
      <c r="D29" s="12" t="s">
        <v>1118</v>
      </c>
      <c r="F29" s="12" t="s">
        <v>1190</v>
      </c>
      <c r="G29" s="12" t="s">
        <v>1189</v>
      </c>
      <c r="H29" s="12" t="s">
        <v>1243</v>
      </c>
    </row>
    <row r="30" customFormat="false" ht="15" hidden="false" customHeight="false" outlineLevel="0" collapsed="false">
      <c r="A30" s="12" t="s">
        <v>1145</v>
      </c>
      <c r="B30" s="12" t="s">
        <v>1246</v>
      </c>
      <c r="C30" s="12" t="s">
        <v>1247</v>
      </c>
      <c r="D30" s="12" t="s">
        <v>1118</v>
      </c>
      <c r="F30" s="12" t="s">
        <v>1191</v>
      </c>
      <c r="G30" s="12" t="s">
        <v>1189</v>
      </c>
      <c r="H30" s="12" t="s">
        <v>1243</v>
      </c>
    </row>
    <row r="31" customFormat="false" ht="15" hidden="false" customHeight="false" outlineLevel="0" collapsed="false">
      <c r="A31" s="12" t="s">
        <v>1146</v>
      </c>
      <c r="B31" s="12" t="s">
        <v>1248</v>
      </c>
      <c r="C31" s="12" t="s">
        <v>1249</v>
      </c>
      <c r="D31" s="12" t="s">
        <v>1118</v>
      </c>
      <c r="F31" s="12" t="s">
        <v>1192</v>
      </c>
      <c r="G31" s="12" t="s">
        <v>1189</v>
      </c>
      <c r="H31" s="12" t="s">
        <v>1230</v>
      </c>
    </row>
    <row r="32" customFormat="false" ht="15" hidden="false" customHeight="false" outlineLevel="0" collapsed="false">
      <c r="A32" s="12" t="s">
        <v>1147</v>
      </c>
      <c r="B32" s="12" t="s">
        <v>1238</v>
      </c>
      <c r="C32" s="12" t="s">
        <v>1215</v>
      </c>
      <c r="D32" s="12" t="s">
        <v>1148</v>
      </c>
      <c r="F32" s="12" t="s">
        <v>1193</v>
      </c>
      <c r="G32" s="12" t="s">
        <v>1194</v>
      </c>
      <c r="H32" s="12" t="s">
        <v>1243</v>
      </c>
    </row>
    <row r="33" customFormat="false" ht="15" hidden="false" customHeight="false" outlineLevel="0" collapsed="false">
      <c r="A33" s="12" t="s">
        <v>1149</v>
      </c>
      <c r="B33" s="12" t="s">
        <v>1250</v>
      </c>
      <c r="C33" s="12" t="s">
        <v>1215</v>
      </c>
      <c r="D33" s="12" t="s">
        <v>1148</v>
      </c>
      <c r="F33" s="12" t="s">
        <v>1195</v>
      </c>
      <c r="G33" s="12" t="s">
        <v>1194</v>
      </c>
      <c r="H33" s="12" t="s">
        <v>1243</v>
      </c>
    </row>
    <row r="34" customFormat="false" ht="15" hidden="false" customHeight="false" outlineLevel="0" collapsed="false">
      <c r="A34" s="12" t="s">
        <v>1150</v>
      </c>
      <c r="B34" s="12" t="s">
        <v>1245</v>
      </c>
      <c r="C34" s="12" t="s">
        <v>1215</v>
      </c>
      <c r="D34" s="12" t="s">
        <v>1148</v>
      </c>
      <c r="F34" s="12" t="s">
        <v>1196</v>
      </c>
      <c r="G34" s="12" t="s">
        <v>1197</v>
      </c>
      <c r="H34" s="12" t="s">
        <v>1230</v>
      </c>
    </row>
    <row r="35" customFormat="false" ht="15" hidden="false" customHeight="false" outlineLevel="0" collapsed="false">
      <c r="A35" s="12" t="s">
        <v>1151</v>
      </c>
      <c r="B35" s="12" t="s">
        <v>1251</v>
      </c>
      <c r="C35" s="12" t="s">
        <v>1215</v>
      </c>
      <c r="D35" s="12" t="s">
        <v>1148</v>
      </c>
      <c r="F35" s="12" t="s">
        <v>1198</v>
      </c>
      <c r="G35" s="12" t="s">
        <v>1197</v>
      </c>
      <c r="H35" s="12" t="s">
        <v>1230</v>
      </c>
    </row>
    <row r="36" customFormat="false" ht="15" hidden="false" customHeight="false" outlineLevel="0" collapsed="false">
      <c r="A36" s="12" t="s">
        <v>1152</v>
      </c>
      <c r="B36" s="12" t="s">
        <v>1245</v>
      </c>
      <c r="C36" s="12" t="s">
        <v>1215</v>
      </c>
      <c r="D36" s="12" t="s">
        <v>1148</v>
      </c>
      <c r="F36" s="12" t="s">
        <v>1199</v>
      </c>
      <c r="G36" s="12" t="s">
        <v>1197</v>
      </c>
      <c r="H36" s="12" t="s">
        <v>1230</v>
      </c>
    </row>
    <row r="37" customFormat="false" ht="15" hidden="false" customHeight="false" outlineLevel="0" collapsed="false">
      <c r="A37" s="12" t="s">
        <v>1153</v>
      </c>
      <c r="B37" s="12" t="s">
        <v>1252</v>
      </c>
      <c r="C37" s="12" t="s">
        <v>1215</v>
      </c>
      <c r="D37" s="12" t="s">
        <v>1148</v>
      </c>
      <c r="F37" s="12" t="s">
        <v>1200</v>
      </c>
      <c r="G37" s="12" t="s">
        <v>1201</v>
      </c>
      <c r="H37" s="12" t="s">
        <v>1118</v>
      </c>
    </row>
    <row r="38" customFormat="false" ht="15" hidden="false" customHeight="false" outlineLevel="0" collapsed="false">
      <c r="A38" s="12" t="s">
        <v>1154</v>
      </c>
      <c r="B38" s="12" t="s">
        <v>1233</v>
      </c>
      <c r="C38" s="12" t="s">
        <v>1215</v>
      </c>
      <c r="D38" s="12" t="s">
        <v>1148</v>
      </c>
    </row>
    <row r="39" customFormat="false" ht="15" hidden="false" customHeight="false" outlineLevel="0" collapsed="false">
      <c r="A39" s="12" t="s">
        <v>1155</v>
      </c>
      <c r="B39" s="12" t="s">
        <v>1253</v>
      </c>
      <c r="C39" s="12" t="s">
        <v>1215</v>
      </c>
      <c r="D39" s="12" t="s">
        <v>1148</v>
      </c>
    </row>
    <row r="40" customFormat="false" ht="15" hidden="false" customHeight="false" outlineLevel="0" collapsed="false">
      <c r="A40" s="19" t="s">
        <v>1254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2026-10-02T15:02:09Z</dcterms:created>
  <dc:creator>openpyxl</dc:creator>
  <dc:description/>
  <dc:language>en-US</dc:language>
  <cp:lastModifiedBy/>
  <dcterms:modified xsi:type="dcterms:W3CDTF">2026-10-02T15:02:09Z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